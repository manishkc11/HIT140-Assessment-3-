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noshbasnet/Desktop/CDU/SEM-2/Data Science/Objective 2/Fifa_WC_2026_Regression/02_X7_Rest_Days/final_consolidated/"/>
    </mc:Choice>
  </mc:AlternateContent>
  <xr:revisionPtr revIDLastSave="0" documentId="13_ncr:1_{36682663-1B3D-7247-A01C-BCD9E4E13BBB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X7_Calculations" sheetId="1" r:id="rId1"/>
    <sheet name="Model_Merge" sheetId="2" r:id="rId2"/>
    <sheet name="Validation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2" l="1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4" i="2"/>
  <c r="L105" i="1"/>
  <c r="B105" i="2" s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B85" i="2" s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B64" i="2" s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B45" i="2" s="1"/>
  <c r="L44" i="1"/>
  <c r="L43" i="1"/>
  <c r="B43" i="2" s="1"/>
  <c r="L42" i="1"/>
  <c r="B42" i="2" s="1"/>
  <c r="L41" i="1"/>
  <c r="B41" i="2" s="1"/>
  <c r="L40" i="1"/>
  <c r="B40" i="2" s="1"/>
  <c r="L39" i="1"/>
  <c r="B39" i="2" s="1"/>
  <c r="L38" i="1"/>
  <c r="B38" i="2" s="1"/>
  <c r="L37" i="1"/>
  <c r="B37" i="2" s="1"/>
  <c r="L36" i="1"/>
  <c r="B36" i="2" s="1"/>
  <c r="L35" i="1"/>
  <c r="B35" i="2" s="1"/>
  <c r="L34" i="1"/>
  <c r="B34" i="2" s="1"/>
  <c r="L33" i="1"/>
  <c r="B33" i="2" s="1"/>
  <c r="L32" i="1"/>
  <c r="B32" i="2" s="1"/>
  <c r="L31" i="1"/>
  <c r="B31" i="2" s="1"/>
  <c r="L30" i="1"/>
  <c r="B30" i="2" s="1"/>
  <c r="L29" i="1"/>
  <c r="B29" i="2" s="1"/>
  <c r="L28" i="1"/>
  <c r="B28" i="2" s="1"/>
  <c r="L27" i="1"/>
  <c r="B27" i="2" s="1"/>
  <c r="L26" i="1"/>
  <c r="B26" i="2" s="1"/>
  <c r="L25" i="1"/>
  <c r="B25" i="2" s="1"/>
  <c r="L24" i="1"/>
  <c r="B24" i="2" s="1"/>
  <c r="L23" i="1"/>
  <c r="B23" i="2" s="1"/>
  <c r="L22" i="1"/>
  <c r="B22" i="2" s="1"/>
  <c r="L21" i="1"/>
  <c r="B21" i="2" s="1"/>
  <c r="L20" i="1"/>
  <c r="B20" i="2" s="1"/>
  <c r="L19" i="1"/>
  <c r="B19" i="2" s="1"/>
  <c r="L18" i="1"/>
  <c r="B18" i="2" s="1"/>
  <c r="L17" i="1"/>
  <c r="B17" i="2" s="1"/>
  <c r="L16" i="1"/>
  <c r="B16" i="2" s="1"/>
  <c r="L15" i="1"/>
  <c r="B15" i="2" s="1"/>
  <c r="L14" i="1"/>
  <c r="B14" i="2" s="1"/>
  <c r="L13" i="1"/>
  <c r="B13" i="2" s="1"/>
  <c r="L12" i="1"/>
  <c r="B12" i="2" s="1"/>
  <c r="L11" i="1"/>
  <c r="B11" i="2" s="1"/>
  <c r="L10" i="1"/>
  <c r="B10" i="2" s="1"/>
  <c r="L9" i="1"/>
  <c r="B9" i="2" s="1"/>
  <c r="L8" i="1"/>
  <c r="B8" i="2" s="1"/>
  <c r="L7" i="1"/>
  <c r="B7" i="2" s="1"/>
  <c r="L6" i="1"/>
  <c r="B6" i="2" s="1"/>
  <c r="L5" i="1"/>
  <c r="B5" i="2" s="1"/>
  <c r="L4" i="1"/>
  <c r="B4" i="2" s="1"/>
  <c r="L3" i="1"/>
  <c r="B3" i="2" s="1"/>
  <c r="L2" i="1"/>
  <c r="B2" i="2" s="1"/>
</calcChain>
</file>

<file path=xl/sharedStrings.xml><?xml version="1.0" encoding="utf-8"?>
<sst xmlns="http://schemas.openxmlformats.org/spreadsheetml/2006/main" count="1080" uniqueCount="270">
  <si>
    <t>match_id</t>
  </si>
  <si>
    <t>match_date</t>
  </si>
  <si>
    <t>stage</t>
  </si>
  <si>
    <t>team_a</t>
  </si>
  <si>
    <t>team_b</t>
  </si>
  <si>
    <t>team_a_previous_match</t>
  </si>
  <si>
    <t>team_a_previous_opponent</t>
  </si>
  <si>
    <t>team_a_rest_days</t>
  </si>
  <si>
    <t>team_b_previous_match</t>
  </si>
  <si>
    <t>team_b_previous_opponent</t>
  </si>
  <si>
    <t>team_b_rest_days</t>
  </si>
  <si>
    <t>X7 (A − B)</t>
  </si>
  <si>
    <t>team_a_source_url</t>
  </si>
  <si>
    <t>team_b_source_url</t>
  </si>
  <si>
    <t>2026-06-11</t>
  </si>
  <si>
    <t>Group Stage</t>
  </si>
  <si>
    <t>Mexico</t>
  </si>
  <si>
    <t>South Africa</t>
  </si>
  <si>
    <t>2026-06-04</t>
  </si>
  <si>
    <t>Serbia</t>
  </si>
  <si>
    <t>2026-06-06</t>
  </si>
  <si>
    <t>Jamaica</t>
  </si>
  <si>
    <t>https://www.fifa.com/en/tournaments/mens/worldcup/canadamexicousa2026/articles/pre-tournament-warm-up-results-fixtures-scorers?searchOverlay=1</t>
  </si>
  <si>
    <t>https://www.worldfootball.net/match-report/co571/friendlies/ma12109528/jamaica_south-africa/</t>
  </si>
  <si>
    <t>Korea Republic</t>
  </si>
  <si>
    <t>Czechia</t>
  </si>
  <si>
    <t>2026-06-03</t>
  </si>
  <si>
    <t>El Salvador</t>
  </si>
  <si>
    <t>Guatemala</t>
  </si>
  <si>
    <t>https://www.korea.net/NewsFocus/Sports/view?articleId=293595</t>
  </si>
  <si>
    <t>2026-06-12</t>
  </si>
  <si>
    <t>Canada</t>
  </si>
  <si>
    <t>Bosnia and Herzegovina</t>
  </si>
  <si>
    <t>2026-06-05</t>
  </si>
  <si>
    <t>Republic of Ireland</t>
  </si>
  <si>
    <t>Panama</t>
  </si>
  <si>
    <t>USA</t>
  </si>
  <si>
    <t>Paraguay</t>
  </si>
  <si>
    <t>Germany</t>
  </si>
  <si>
    <t>Nicaragua</t>
  </si>
  <si>
    <t>https://www.ussoccer.com/stories/2026/06/usmnt/match-recap-antonee-robinson-goal-highlights-vs-germany</t>
  </si>
  <si>
    <t>2026-06-13</t>
  </si>
  <si>
    <t>Haiti</t>
  </si>
  <si>
    <t>Scotland</t>
  </si>
  <si>
    <t>Peru</t>
  </si>
  <si>
    <t>Bolivia</t>
  </si>
  <si>
    <t>Australia</t>
  </si>
  <si>
    <t>Türkiye</t>
  </si>
  <si>
    <t>Switzerland</t>
  </si>
  <si>
    <t>Venezuela</t>
  </si>
  <si>
    <t>https://www.tff.org/Default.aspx?macID=317490&amp;pageID=440</t>
  </si>
  <si>
    <t>Brazil</t>
  </si>
  <si>
    <t>Morocco</t>
  </si>
  <si>
    <t>Egypt</t>
  </si>
  <si>
    <t>2026-06-07</t>
  </si>
  <si>
    <t>Norway</t>
  </si>
  <si>
    <t>Qatar</t>
  </si>
  <si>
    <t>https://www.olympic.qa/node/20077</t>
  </si>
  <si>
    <t>2026-06-14</t>
  </si>
  <si>
    <t>Côte d'Ivoire</t>
  </si>
  <si>
    <t>Ecuador</t>
  </si>
  <si>
    <t>France</t>
  </si>
  <si>
    <t>https://www.fifa.com/fr/articles/matches-amicaux-cote-ivoire-avant-coupe-du-monde-2026</t>
  </si>
  <si>
    <t>Curaçao</t>
  </si>
  <si>
    <t>Aruba</t>
  </si>
  <si>
    <t>https://datencenter.dfb.de/en/data-center/friendly/2025-2026/season/2413138</t>
  </si>
  <si>
    <t>Netherlands</t>
  </si>
  <si>
    <t>Japan</t>
  </si>
  <si>
    <t>2026-06-08</t>
  </si>
  <si>
    <t>Uzbekistan</t>
  </si>
  <si>
    <t>2026-05-31</t>
  </si>
  <si>
    <t>Iceland</t>
  </si>
  <si>
    <t>https://www.fifa.com/en/articles/pre-tournament-warm-up-results-fixtures-scorers</t>
  </si>
  <si>
    <t>https://www.jfa.jp/eng/samuraiblue/news/00036396/</t>
  </si>
  <si>
    <t>Sweden</t>
  </si>
  <si>
    <t>Tunisia</t>
  </si>
  <si>
    <t>Greece</t>
  </si>
  <si>
    <t>Belgium</t>
  </si>
  <si>
    <t>2026-06-15</t>
  </si>
  <si>
    <t>Saudi Arabia</t>
  </si>
  <si>
    <t>Uruguay</t>
  </si>
  <si>
    <t>2026-06-09</t>
  </si>
  <si>
    <t>Senegal</t>
  </si>
  <si>
    <t>2026-03-31</t>
  </si>
  <si>
    <t>Algeria</t>
  </si>
  <si>
    <t>https://www.auf.org.uy/amistosoargelia-vs-uruguay/</t>
  </si>
  <si>
    <t>Spain</t>
  </si>
  <si>
    <t>Cabo Verde</t>
  </si>
  <si>
    <t>Bermuda</t>
  </si>
  <si>
    <t>IR Iran</t>
  </si>
  <si>
    <t>New Zealand</t>
  </si>
  <si>
    <t>Mali</t>
  </si>
  <si>
    <t>England</t>
  </si>
  <si>
    <t>https://www.the-afc.com/en/more/international_friendlies.html/news/iraq-hold-spain-ir-iran-ease-past-mali</t>
  </si>
  <si>
    <t>2026-06-16</t>
  </si>
  <si>
    <t>Northern Ireland</t>
  </si>
  <si>
    <t>Iraq</t>
  </si>
  <si>
    <t>Argentina</t>
  </si>
  <si>
    <t>2026-06-10</t>
  </si>
  <si>
    <t>Austria</t>
  </si>
  <si>
    <t>Jordan</t>
  </si>
  <si>
    <t>2026-06-01</t>
  </si>
  <si>
    <t>Colombia</t>
  </si>
  <si>
    <t>2026-06-17</t>
  </si>
  <si>
    <t>Ghana</t>
  </si>
  <si>
    <t>2026-06-02</t>
  </si>
  <si>
    <t>Wales</t>
  </si>
  <si>
    <t>https://ghanafa.org/black-stars-arrive-in-providence-for-final-phase-of-world-cup-preparations</t>
  </si>
  <si>
    <t>https://www.nfsbih.ba/en/a-national-team-results-for-year2026/panama-bosnia-and-herzegovina/</t>
  </si>
  <si>
    <t>Croatia</t>
  </si>
  <si>
    <t>Costa Rica</t>
  </si>
  <si>
    <t>Slovenia</t>
  </si>
  <si>
    <t>Portugal</t>
  </si>
  <si>
    <t>Congo DR</t>
  </si>
  <si>
    <t>Nigeria</t>
  </si>
  <si>
    <t>Chile</t>
  </si>
  <si>
    <t>2026-06-18</t>
  </si>
  <si>
    <t>https://www.fifa.com/en/tournaments/mens/worldcup/canadamexicousa2026/articles/match-schedule-fixtures-results-teams-stadiums</t>
  </si>
  <si>
    <t>2026-06-19</t>
  </si>
  <si>
    <t>https://www.fifa.com/en/watch/5oqx3sIxku2ZuDAbCehpIM</t>
  </si>
  <si>
    <t>https://www.fifa.com/en/watch/6jzgitUqP6YyXpwwuY6VRc</t>
  </si>
  <si>
    <t>2026-06-20</t>
  </si>
  <si>
    <t>https://www.dfb.de/news/germany-open-world-cup-with-emphatic-7-1-win-over-curacao</t>
  </si>
  <si>
    <t>https://www.fifa.com/en/tournaments/mens/worldcup/canadamexicousa2026/articles/cote-d-ivoire-ecuador-highlights-match-report?searchOverlay=1</t>
  </si>
  <si>
    <t>https://www.fifa.com/en/watch/70zTmaK2XlelQBwGsPt7dI</t>
  </si>
  <si>
    <t>https://www.fifa.com/en/watch/1xJ82g9ocfLQaweWUFgFMw</t>
  </si>
  <si>
    <t>2026-06-21</t>
  </si>
  <si>
    <t>https://www.auf.org.uy/copa-mundial-de-la-fifa-estados-unidos-canada-y-mexico-2026arabia-saudita-vs-uruguay/</t>
  </si>
  <si>
    <t>https://www.cafonline.com/fifa-world-cup/news/cape-verde-stun-spain-to-claim-historic-point-on-world-cup-debut/</t>
  </si>
  <si>
    <t>https://www.fifa.com/en/tournaments/mens/worldcup/canadamexicousa2026/articles/belgium-egypt-highlights-match-report</t>
  </si>
  <si>
    <t>https://www.fifa.com/ar/articles/ir-iran-new-zealand-highlights-match-report-ar</t>
  </si>
  <si>
    <t>2026-06-22</t>
  </si>
  <si>
    <t>https://www.youtube.com/watch?v=58Bftb9UqgI</t>
  </si>
  <si>
    <t>https://www.fifa.com/en/tournaments/mens/worldcup/canadamexicousa2026/articles/france-senegal-highlights-match-report</t>
  </si>
  <si>
    <t>https://www.fifa.com/en/tournaments/mens/worldcup/canadamexicousa2026/articles/argentina-v-algeria-highlights-match-report</t>
  </si>
  <si>
    <t>https://www.fifa.com/pt/articles/austria-jordania-melhores-momentos-resumo-grupo-j</t>
  </si>
  <si>
    <t>2026-06-23</t>
  </si>
  <si>
    <t>https://www.fifa.com/fr/tournaments/mens/worldcup/canadamexicousa2026/articles/fifa.com/fr/articles/resume-temps-forts-angleterre-croatie-groupe-l</t>
  </si>
  <si>
    <t>https://www.fifa.com/en/tournaments/mens/worldcup/canadamexicousa2026/articles/ghana-panama-highlights-match-report</t>
  </si>
  <si>
    <t>https://www.fifa.com/pt/tournaments/mens/worldcup/canadamexicousa2026/articles/portugal-rd-congo-melhores-momentos-resumo-grupo-k</t>
  </si>
  <si>
    <t>https://www.fifa.com/en/tournaments/mens/worldcup/canadamexicousa2026/articles/uzbekistan-colombia-match-report-highlights</t>
  </si>
  <si>
    <t>2026-06-24</t>
  </si>
  <si>
    <t>https://www.fifa.com/en/tournaments/mens/worldcup/canadamexicousa2026/articles/scotland-morocco-match-report-highlights</t>
  </si>
  <si>
    <t>https://www.fifa.com/en/watch/4B1cORLHftHRri3QzyPvng</t>
  </si>
  <si>
    <t>https://www.fifa.com/en/articles/switzerland-bosnia-herzegovina-match-report-highlights</t>
  </si>
  <si>
    <t>https://www.fifa.com/en/tournaments/mens/worldcup/canadamexicousa2026/articles/canada-first-world-cup-win-en</t>
  </si>
  <si>
    <t>https://www.fifa.com/en/articles/czechia-south-africa-highlights-match-report</t>
  </si>
  <si>
    <t>https://www.fifa.com/en/watch/7EONkqbttoSK2UPpHkR6oz</t>
  </si>
  <si>
    <t>2026-06-25</t>
  </si>
  <si>
    <t>https://www.fifa.com/en/tournaments/mens/worldcup/canadamexicousa2026/articles/ecuador-curacao-match-report-highlights</t>
  </si>
  <si>
    <t>https://www.fifa.com/en/tournaments/mens/worldcup/canadamexicousa2026/articles/germany-cote-divoire-match-report-highlights</t>
  </si>
  <si>
    <t>https://www.fifa.com/en/articles/tunisia-japan-match-report-highlights</t>
  </si>
  <si>
    <t>https://www.fifa.com/en/articles/netherlands-sweden-match-report-highlights</t>
  </si>
  <si>
    <t>https://www.fifa.com/en/tournaments/mens/worldcup/canadamexicousa2026/articles/turkiye-paraguay-match-report-highlights</t>
  </si>
  <si>
    <t>https://www.fifa.com/en/watch/1uOCG5cpsR45kemo4IdCO3</t>
  </si>
  <si>
    <t>2026-06-26</t>
  </si>
  <si>
    <t>https://www.fifa.com/en/tournaments/mens/worldcup/canadamexicousa2026/articles/norway-senegal-match-report-highlights</t>
  </si>
  <si>
    <t>https://www.fifa.com/en/tournaments/mens/worldcup/canadamexicousa2026/articles/france-iraq-match-report-highlights</t>
  </si>
  <si>
    <t>https://www.fifa.com/en/tournaments/mens/worldcup/canadamexicousa2026/articles/new-zealand-egypt-match-report-highlights</t>
  </si>
  <si>
    <t>https://www.fifa.com/en/tournaments/mens/worldcup/canadamexicousa2026/articles/belgium-ir-iran-match-report-highlights</t>
  </si>
  <si>
    <t>https://www.fifa.com/es/tournaments/mens/worldcup/canadamexicousa2026/articles/videos-goles-uruguay-cabo-verde-copa-mundial-resumen-highlights</t>
  </si>
  <si>
    <t>https://www.fifa.com/es/tournaments/mens/worldcup/canadamexicousa2026/articles/videos-goles-espana-arabia-saudi-copa-mundial-resumen-highlights</t>
  </si>
  <si>
    <t>2026-06-27</t>
  </si>
  <si>
    <t>https://www.fifa.com/en/watch/5ewcE9E2gBUvXwyGfkEz1n</t>
  </si>
  <si>
    <t>https://www.fifa.com/en/watch/YMV6IJCxemtC0s8HtqPn3</t>
  </si>
  <si>
    <t>https://www.fifa.com/en/tournaments/mens/worldcup/canadamexicousa2026/articles/fantasy-matchday-12-review-preview</t>
  </si>
  <si>
    <t>https://www.fifa.com/es/articles/videos-goles-argentina-austria-copa-mundial-resumen-highlights</t>
  </si>
  <si>
    <t>https://www.fifa.com/en/articles/colombia-congo-dr-match-report-highlights</t>
  </si>
  <si>
    <t>https://www.fifa.com/en/articles/cristiano-ronaldo-portugal-goal-record</t>
  </si>
  <si>
    <t>2026-06-28</t>
  </si>
  <si>
    <t>Round of 32</t>
  </si>
  <si>
    <t>https://www.fifa.com/watch/4rg8eRpXuMQG67utITccQd?cid=%28p_go-box%29%28c_fwc%29%28sc_aramco-h-fwc26%29%28ssc_fwc-2026%29%28ma_54%29</t>
  </si>
  <si>
    <t>https://www.fifa.com/watch/1KiU2uFEKhMDYVNebmF5Zg</t>
  </si>
  <si>
    <t>2026-06-29</t>
  </si>
  <si>
    <t>https://www.fifa.com/watch/6zwOi8MRCYL1qFZ0LwyOAD</t>
  </si>
  <si>
    <t>https://www.fifa.com/en/watch/4NNX3soy5dReiHMd5HxRXA</t>
  </si>
  <si>
    <t>https://www.fifa.com/en/watch/2YZkJfuTl6nfWtN0Afygpx?autoplay=true</t>
  </si>
  <si>
    <t>https://www.fifa.com/en/watch/4lDtvGJGbp8eEdlUUUZo3I</t>
  </si>
  <si>
    <t>https://www.scottishfa.co.uk/en/news/match-report-or-scotland-v-brazil</t>
  </si>
  <si>
    <t>https://www.fifa.com/pt/articles/japao-classificacao-brasil-copa-do-mundo</t>
  </si>
  <si>
    <t>2026-06-30</t>
  </si>
  <si>
    <t>https://www.fifa.com/watch/THUuOCgcktTdRUWJbCDNL</t>
  </si>
  <si>
    <t>https://www.fifa.com/es/tournaments/mens/worldcup/canadamexicousa2026/articles/goles-videos-curazao-costa-de-marfil-copa-mundial-2026-resumen-highlights</t>
  </si>
  <si>
    <t>https://www.fifa.com/en/tournaments/mens/worldcup/canadamexicousa2026/articles/czechia-mexico-match-report-highlights?searchOverlay=1</t>
  </si>
  <si>
    <t>2026-07-01</t>
  </si>
  <si>
    <t>https://www.fifa.com/en/tournaments/mens/worldcup/canadamexicousa2026/articles/panama-england-match-report-highlights?searchOverlay=1</t>
  </si>
  <si>
    <t>https://www.fifa.com/ja/tournaments/mens/worldcup/canadamexicousa2026/articles/congo-dr-uzbekistan-match-report-highlights-ja</t>
  </si>
  <si>
    <t>https://www.fifa.com/en/articles/turkiye-usa-match-report-highlights</t>
  </si>
  <si>
    <t>https://www.fifa.com/en/watch/5CVV8X8QSnZDr6uKOh31ff</t>
  </si>
  <si>
    <t>https://www.fifa.com/en/tournaments/mens/worldcup/canadamexicousa2026/articles/new-zealand-belgium-match-report-highlights</t>
  </si>
  <si>
    <t>https://www.fifa.com/es/tournaments/mens/worldcup/canadamexicousa2026/articles/videos-goles-senegal-irak-copa-mundial-resumen-highlights</t>
  </si>
  <si>
    <t>2026-07-02</t>
  </si>
  <si>
    <t>https://www.fifa.com/es/tournaments/mens/worldcup/canadamexicousa2026/articles/videos-goles-colombia-portugal-copa-mundial-resumen-highlights?searchOverlay=1</t>
  </si>
  <si>
    <t>https://www.fifa.com/en/watch/DZ0FHbTgZcLaZe4t8YQew</t>
  </si>
  <si>
    <t>https://www.fifa.com/es/tournaments/mens/worldcup/canadamexicousa2026/articles/videos-goles-uruguay-espana-copa-mundial-resumen-highlights?searchOverlay=1</t>
  </si>
  <si>
    <t>https://www.fifa.com/it/tournaments/mens/worldcup/canadamexicousa2026/articles/algeria-austria-sintesi-match-highlights</t>
  </si>
  <si>
    <t>2026-07-03</t>
  </si>
  <si>
    <t>https://www.fifa.com/en/tournaments/mens/worldcup/canadamexicousa2026/articles/jordan-argentina-match-report-highlights?searchOverlay=1</t>
  </si>
  <si>
    <t>https://www.fifa.com/watch/6cEIYSaBZmtelEG6H679Pu</t>
  </si>
  <si>
    <t>https://www.fifa.com/es/tournaments/mens/worldcup/canadamexicousa2026/articles/goles-videos-egipto-iran-mundial-2026-resumen-highlights</t>
  </si>
  <si>
    <t>2026-07-04</t>
  </si>
  <si>
    <t>Round of 16</t>
  </si>
  <si>
    <t>https://www.fifa.com/en/tournaments/mens/worldcup/canadamexicousa2026/articles/germany-paraguay-review-highlights</t>
  </si>
  <si>
    <t>https://www.youtube.com/watch?v=A7pgChEIFTg</t>
  </si>
  <si>
    <t>https://www.fifa.com/en/tournaments/mens/worldcup/canadamexicousa2026/articles/alphonso-davies-canada-comeback?searchOverlay=1</t>
  </si>
  <si>
    <t>https://www.fifa.com/en/tournaments/mens/worldcup/canadamexicousa2026/articles/van-hecke-netherlands-morocco</t>
  </si>
  <si>
    <t>2026-07-05</t>
  </si>
  <si>
    <t>https://www.fifa.com/en/tournaments/mens/worldcup/canadamexicousa2026/articles/carlo-ancelotti-brazil-japan?searchOverlay=1</t>
  </si>
  <si>
    <t>https://www.fifa.com/en/tournaments/mens/worldcup/canadamexicousa2026/articles/norway-reaction-erling-haaland-patrick-berg-stale-solbakken?searchOverlay=1</t>
  </si>
  <si>
    <t>https://www.fifa.com/en/tournaments/mens/worldcup/canadamexicousa2026/articles/matchday-20-round-up-review-highlights</t>
  </si>
  <si>
    <t>https://www.englandfootball.com/england/mens-senior-team/fixtures-results/2025-26/World-Cup/england-v-dr-congo-fifa-world-cup-wednesday-1-july-2026-match-centre</t>
  </si>
  <si>
    <t>2026-07-06</t>
  </si>
  <si>
    <t>https://www.fifa.com/en/tournaments/mens/worldcup/canadamexicousa2026/articles/algeria-spain-switzerland-review-highlights</t>
  </si>
  <si>
    <t>https://www.fifa.com/en/tournaments/mens/worldcup/canadamexicousa2026/articles/fifa.com/en/articles/spain-austria-match-report-highlights</t>
  </si>
  <si>
    <t>https://www.fifa.com/en/tournaments/mens/worldcup/canadamexicousa2026/articles/usa-bosnia-and-herzegovina-review-highlights</t>
  </si>
  <si>
    <t>https://www.fifa.com/id/tournaments/mens/worldcup/canadamexicousa2026/articles/belgia-senegal-laporan-pertandingan-cuplikan</t>
  </si>
  <si>
    <t>2026-07-07</t>
  </si>
  <si>
    <t>https://www.fifa.com/en/tournaments/mens/worldcup/canadamexicousa2026/articles/argentina-dig-deep-cabo-verde?searchOverlay=1</t>
  </si>
  <si>
    <t>https://www.fifa.com/en/tournaments/mens/worldcup/canadamexicousa2026/articles/australia-egypt-match-report-highlights?searchOverlay=1</t>
  </si>
  <si>
    <t>https://www.fifa.com/en/tournaments/mens/worldcup/canadamexicousa2026/articles/switzerland-algeria-match-report-highlights?searchOverlay=1</t>
  </si>
  <si>
    <t>https://www.youtube.com/watch?v=thP8Y7bVQDg</t>
  </si>
  <si>
    <t>2026-07-09</t>
  </si>
  <si>
    <t>Quarter-finals</t>
  </si>
  <si>
    <t>https://www.fifa.com/en/tournaments/mens/worldcup/canadamexicousa2026/articles/paraguay-france-match-report-highlights?searchOverlay=1</t>
  </si>
  <si>
    <t>https://www.fifa.com/en/tournaments/mens/worldcup/canadamexicousa2026/articles/canada-morocco-match-report-highlights</t>
  </si>
  <si>
    <t>2026-07-10</t>
  </si>
  <si>
    <t>https://www.fifa.com/en/tournaments/mens/worldcup/canadamexicousa2026/articles/spain-reaction-rodri-marc-cucurella</t>
  </si>
  <si>
    <t>https://www.ussoccer.com/stories/2026/07/usmnt/match-recap-highlights-vs-belgium-world-cup-round-of-16?trk=article-ssr-frontend-pulse_little-text-block</t>
  </si>
  <si>
    <t>2026-07-11</t>
  </si>
  <si>
    <t>https://www.youtube.com/watch?v=a945oObDZgQ</t>
  </si>
  <si>
    <t>https://www.fifa.com/en/tournaments/mens/worldcup/canadamexicousa2026/articles/thomas-tuchel-harry-kane-england-mexico-reaction?searchOverlay=1</t>
  </si>
  <si>
    <t>https://www.youtube.com/watch?v=-LHb5yN-OzI</t>
  </si>
  <si>
    <t>https://www.fifa.com/en/tournaments/mens/worldcup/canadamexicousa2026/articles/switzerland-colombia-match-report-highlights?gsid=0610abc0-2ec7-4d15-b721-ef491927cd0a</t>
  </si>
  <si>
    <t>2026-07-14</t>
  </si>
  <si>
    <t>Semi-finals</t>
  </si>
  <si>
    <t>https://www.fifa.com/en/tournaments/mens/worldcup/canadamexicousa2026/articles/france-morocco-match-report-highlights?searchOverlay=1</t>
  </si>
  <si>
    <t>https://www.skysports.com/football/spain-vs-belgium/report/549863</t>
  </si>
  <si>
    <t>2026-07-15</t>
  </si>
  <si>
    <t>https://www.englandfootball.com/england/mens-senior-team/fixtures-results/2025-26/world-cup/norway-england-fifa-world-cup-quarter-final-saturday-11-july-2026-match-centre</t>
  </si>
  <si>
    <t>https://www.fifa.com/en/tournaments/mens/worldcup/canadamexicousa2026/articles/argentina-switzerland-match-report-highlights?gsid=e7fc2e4a-e5a2-4ab7-8a6f-44714b86ea48</t>
  </si>
  <si>
    <t>2026-07-18</t>
  </si>
  <si>
    <t>Bronze Final</t>
  </si>
  <si>
    <t>https://www.skysports.com/football/france-vs-quarter-final-2-winner/549866</t>
  </si>
  <si>
    <t>https://www.fifa.com/en/articles/england-argentina-match-report-highlights</t>
  </si>
  <si>
    <t>2026-07-19</t>
  </si>
  <si>
    <t>Final</t>
  </si>
  <si>
    <t>rest_days_diff</t>
  </si>
  <si>
    <t>Validation Metric</t>
  </si>
  <si>
    <t>Value</t>
  </si>
  <si>
    <t>Matches</t>
  </si>
  <si>
    <t>104</t>
  </si>
  <si>
    <t>Historical team observations</t>
  </si>
  <si>
    <t>208</t>
  </si>
  <si>
    <t>Missing date inputs</t>
  </si>
  <si>
    <t>0</t>
  </si>
  <si>
    <t>Missing X7 values</t>
  </si>
  <si>
    <t>Chronology / predecessor check</t>
  </si>
  <si>
    <t>Passed</t>
  </si>
  <si>
    <t>Original master edited?</t>
  </si>
  <si>
    <t>No</t>
  </si>
  <si>
    <t>Research method</t>
  </si>
  <si>
    <t>AI-assisted; external sources not exhaustively audited</t>
  </si>
  <si>
    <t>Outlier requiring sensitivity check</t>
  </si>
  <si>
    <t>Match 13: X7 = -70</t>
  </si>
  <si>
    <t>X7 distribution</t>
  </si>
  <si>
    <t>Count</t>
  </si>
  <si>
    <t>Negative</t>
  </si>
  <si>
    <t>Zero</t>
  </si>
  <si>
    <t>Positive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</si>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</sst>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2" customWidth="1"/>
    <col min="2" max="2" width="17" customWidth="1"/>
    <col min="3" max="3" width="22" customWidth="1"/>
    <col min="4" max="5" width="23" customWidth="1"/>
    <col min="6" max="6" width="20.5" customWidth="1"/>
    <col min="7" max="7" width="24" customWidth="1"/>
    <col min="8" max="8" width="16" customWidth="1"/>
    <col min="9" max="9" width="18" customWidth="1"/>
    <col min="10" max="10" width="24" customWidth="1"/>
    <col min="11" max="12" width="16" customWidth="1"/>
    <col min="13" max="14" width="42" customWidth="1"/>
  </cols>
  <sheetData>
    <row r="1" spans="1:14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7</v>
      </c>
      <c r="I2" t="s">
        <v>20</v>
      </c>
      <c r="J2" t="s">
        <v>21</v>
      </c>
      <c r="K2">
        <v>5</v>
      </c>
      <c r="L2">
        <f t="shared" ref="L2:L33" si="0">H2-K2</f>
        <v>2</v>
      </c>
      <c r="M2" t="s">
        <v>22</v>
      </c>
      <c r="N2" t="s">
        <v>23</v>
      </c>
    </row>
    <row r="3" spans="1:14">
      <c r="A3">
        <v>2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>
        <v>8</v>
      </c>
      <c r="I3" t="s">
        <v>18</v>
      </c>
      <c r="J3" t="s">
        <v>28</v>
      </c>
      <c r="K3">
        <v>7</v>
      </c>
      <c r="L3">
        <f t="shared" si="0"/>
        <v>1</v>
      </c>
      <c r="M3" t="s">
        <v>29</v>
      </c>
      <c r="N3" t="s">
        <v>22</v>
      </c>
    </row>
    <row r="4" spans="1:14">
      <c r="A4">
        <v>3</v>
      </c>
      <c r="B4" t="s">
        <v>30</v>
      </c>
      <c r="C4" t="s">
        <v>15</v>
      </c>
      <c r="D4" t="s">
        <v>31</v>
      </c>
      <c r="E4" t="s">
        <v>32</v>
      </c>
      <c r="F4" t="s">
        <v>33</v>
      </c>
      <c r="G4" t="s">
        <v>34</v>
      </c>
      <c r="H4">
        <v>7</v>
      </c>
      <c r="I4" t="s">
        <v>20</v>
      </c>
      <c r="J4" t="s">
        <v>35</v>
      </c>
      <c r="K4">
        <v>6</v>
      </c>
      <c r="L4">
        <f t="shared" si="0"/>
        <v>1</v>
      </c>
      <c r="M4" t="s">
        <v>22</v>
      </c>
      <c r="N4" t="s">
        <v>22</v>
      </c>
    </row>
    <row r="5" spans="1:14">
      <c r="A5">
        <v>4</v>
      </c>
      <c r="B5" t="s">
        <v>30</v>
      </c>
      <c r="C5" t="s">
        <v>15</v>
      </c>
      <c r="D5" t="s">
        <v>36</v>
      </c>
      <c r="E5" t="s">
        <v>37</v>
      </c>
      <c r="F5" t="s">
        <v>20</v>
      </c>
      <c r="G5" t="s">
        <v>38</v>
      </c>
      <c r="H5">
        <v>6</v>
      </c>
      <c r="I5" t="s">
        <v>33</v>
      </c>
      <c r="J5" t="s">
        <v>39</v>
      </c>
      <c r="K5">
        <v>7</v>
      </c>
      <c r="L5">
        <f t="shared" si="0"/>
        <v>-1</v>
      </c>
      <c r="M5" t="s">
        <v>40</v>
      </c>
      <c r="N5" t="s">
        <v>22</v>
      </c>
    </row>
    <row r="6" spans="1:14">
      <c r="A6">
        <v>5</v>
      </c>
      <c r="B6" t="s">
        <v>41</v>
      </c>
      <c r="C6" t="s">
        <v>15</v>
      </c>
      <c r="D6" t="s">
        <v>42</v>
      </c>
      <c r="E6" t="s">
        <v>43</v>
      </c>
      <c r="F6" t="s">
        <v>33</v>
      </c>
      <c r="G6" t="s">
        <v>44</v>
      </c>
      <c r="H6">
        <v>8</v>
      </c>
      <c r="I6" t="s">
        <v>20</v>
      </c>
      <c r="J6" t="s">
        <v>45</v>
      </c>
      <c r="K6">
        <v>7</v>
      </c>
      <c r="L6">
        <f t="shared" si="0"/>
        <v>1</v>
      </c>
      <c r="M6" t="s">
        <v>22</v>
      </c>
      <c r="N6" t="s">
        <v>22</v>
      </c>
    </row>
    <row r="7" spans="1:14">
      <c r="A7">
        <v>6</v>
      </c>
      <c r="B7" t="s">
        <v>41</v>
      </c>
      <c r="C7" t="s">
        <v>15</v>
      </c>
      <c r="D7" t="s">
        <v>46</v>
      </c>
      <c r="E7" t="s">
        <v>47</v>
      </c>
      <c r="F7" t="s">
        <v>20</v>
      </c>
      <c r="G7" t="s">
        <v>48</v>
      </c>
      <c r="H7">
        <v>7</v>
      </c>
      <c r="I7" t="s">
        <v>20</v>
      </c>
      <c r="J7" t="s">
        <v>49</v>
      </c>
      <c r="K7">
        <v>7</v>
      </c>
      <c r="L7">
        <f t="shared" si="0"/>
        <v>0</v>
      </c>
      <c r="M7" t="s">
        <v>22</v>
      </c>
      <c r="N7" t="s">
        <v>50</v>
      </c>
    </row>
    <row r="8" spans="1:14">
      <c r="A8">
        <v>7</v>
      </c>
      <c r="B8" t="s">
        <v>41</v>
      </c>
      <c r="C8" t="s">
        <v>15</v>
      </c>
      <c r="D8" t="s">
        <v>51</v>
      </c>
      <c r="E8" t="s">
        <v>52</v>
      </c>
      <c r="F8" t="s">
        <v>20</v>
      </c>
      <c r="G8" t="s">
        <v>53</v>
      </c>
      <c r="H8">
        <v>7</v>
      </c>
      <c r="I8" t="s">
        <v>54</v>
      </c>
      <c r="J8" t="s">
        <v>55</v>
      </c>
      <c r="K8">
        <v>6</v>
      </c>
      <c r="L8">
        <f t="shared" si="0"/>
        <v>1</v>
      </c>
      <c r="M8" t="s">
        <v>22</v>
      </c>
      <c r="N8" t="s">
        <v>22</v>
      </c>
    </row>
    <row r="9" spans="1:14">
      <c r="A9">
        <v>8</v>
      </c>
      <c r="B9" t="s">
        <v>41</v>
      </c>
      <c r="C9" t="s">
        <v>15</v>
      </c>
      <c r="D9" t="s">
        <v>56</v>
      </c>
      <c r="E9" t="s">
        <v>48</v>
      </c>
      <c r="F9" t="s">
        <v>20</v>
      </c>
      <c r="G9" t="s">
        <v>27</v>
      </c>
      <c r="H9">
        <v>7</v>
      </c>
      <c r="I9" t="s">
        <v>20</v>
      </c>
      <c r="J9" t="s">
        <v>46</v>
      </c>
      <c r="K9">
        <v>7</v>
      </c>
      <c r="L9">
        <f t="shared" si="0"/>
        <v>0</v>
      </c>
      <c r="M9" t="s">
        <v>57</v>
      </c>
      <c r="N9" t="s">
        <v>22</v>
      </c>
    </row>
    <row r="10" spans="1:14">
      <c r="A10">
        <v>9</v>
      </c>
      <c r="B10" t="s">
        <v>58</v>
      </c>
      <c r="C10" t="s">
        <v>15</v>
      </c>
      <c r="D10" t="s">
        <v>59</v>
      </c>
      <c r="E10" t="s">
        <v>60</v>
      </c>
      <c r="F10" t="s">
        <v>18</v>
      </c>
      <c r="G10" t="s">
        <v>61</v>
      </c>
      <c r="H10">
        <v>10</v>
      </c>
      <c r="I10" t="s">
        <v>54</v>
      </c>
      <c r="J10" t="s">
        <v>28</v>
      </c>
      <c r="K10">
        <v>7</v>
      </c>
      <c r="L10">
        <f t="shared" si="0"/>
        <v>3</v>
      </c>
      <c r="M10" t="s">
        <v>62</v>
      </c>
      <c r="N10" t="s">
        <v>22</v>
      </c>
    </row>
    <row r="11" spans="1:14">
      <c r="A11">
        <v>10</v>
      </c>
      <c r="B11" t="s">
        <v>58</v>
      </c>
      <c r="C11" t="s">
        <v>15</v>
      </c>
      <c r="D11" t="s">
        <v>38</v>
      </c>
      <c r="E11" t="s">
        <v>63</v>
      </c>
      <c r="F11" t="s">
        <v>20</v>
      </c>
      <c r="G11" t="s">
        <v>36</v>
      </c>
      <c r="H11">
        <v>8</v>
      </c>
      <c r="I11" t="s">
        <v>20</v>
      </c>
      <c r="J11" t="s">
        <v>64</v>
      </c>
      <c r="K11">
        <v>8</v>
      </c>
      <c r="L11">
        <f t="shared" si="0"/>
        <v>0</v>
      </c>
      <c r="M11" t="s">
        <v>65</v>
      </c>
      <c r="N11" t="s">
        <v>22</v>
      </c>
    </row>
    <row r="12" spans="1:14">
      <c r="A12">
        <v>11</v>
      </c>
      <c r="B12" t="s">
        <v>58</v>
      </c>
      <c r="C12" t="s">
        <v>15</v>
      </c>
      <c r="D12" t="s">
        <v>66</v>
      </c>
      <c r="E12" t="s">
        <v>67</v>
      </c>
      <c r="F12" t="s">
        <v>68</v>
      </c>
      <c r="G12" t="s">
        <v>69</v>
      </c>
      <c r="H12">
        <v>6</v>
      </c>
      <c r="I12" t="s">
        <v>70</v>
      </c>
      <c r="J12" t="s">
        <v>71</v>
      </c>
      <c r="K12">
        <v>14</v>
      </c>
      <c r="L12">
        <f t="shared" si="0"/>
        <v>-8</v>
      </c>
      <c r="M12" t="s">
        <v>72</v>
      </c>
      <c r="N12" t="s">
        <v>73</v>
      </c>
    </row>
    <row r="13" spans="1:14">
      <c r="A13">
        <v>12</v>
      </c>
      <c r="B13" t="s">
        <v>58</v>
      </c>
      <c r="C13" t="s">
        <v>15</v>
      </c>
      <c r="D13" t="s">
        <v>74</v>
      </c>
      <c r="E13" t="s">
        <v>75</v>
      </c>
      <c r="F13" t="s">
        <v>18</v>
      </c>
      <c r="G13" t="s">
        <v>76</v>
      </c>
      <c r="H13">
        <v>10</v>
      </c>
      <c r="I13" t="s">
        <v>20</v>
      </c>
      <c r="J13" t="s">
        <v>77</v>
      </c>
      <c r="K13">
        <v>8</v>
      </c>
      <c r="L13">
        <f t="shared" si="0"/>
        <v>2</v>
      </c>
      <c r="M13" t="s">
        <v>72</v>
      </c>
      <c r="N13" t="s">
        <v>72</v>
      </c>
    </row>
    <row r="14" spans="1:14">
      <c r="A14">
        <v>13</v>
      </c>
      <c r="B14" t="s">
        <v>78</v>
      </c>
      <c r="C14" t="s">
        <v>15</v>
      </c>
      <c r="D14" t="s">
        <v>79</v>
      </c>
      <c r="E14" t="s">
        <v>80</v>
      </c>
      <c r="F14" t="s">
        <v>81</v>
      </c>
      <c r="G14" t="s">
        <v>82</v>
      </c>
      <c r="H14">
        <v>6</v>
      </c>
      <c r="I14" t="s">
        <v>83</v>
      </c>
      <c r="J14" t="s">
        <v>84</v>
      </c>
      <c r="K14">
        <v>76</v>
      </c>
      <c r="L14">
        <f t="shared" si="0"/>
        <v>-70</v>
      </c>
      <c r="M14" t="s">
        <v>72</v>
      </c>
      <c r="N14" t="s">
        <v>85</v>
      </c>
    </row>
    <row r="15" spans="1:14">
      <c r="A15">
        <v>14</v>
      </c>
      <c r="B15" t="s">
        <v>78</v>
      </c>
      <c r="C15" t="s">
        <v>15</v>
      </c>
      <c r="D15" t="s">
        <v>86</v>
      </c>
      <c r="E15" t="s">
        <v>87</v>
      </c>
      <c r="F15" t="s">
        <v>68</v>
      </c>
      <c r="G15" t="s">
        <v>44</v>
      </c>
      <c r="H15">
        <v>7</v>
      </c>
      <c r="I15" t="s">
        <v>20</v>
      </c>
      <c r="J15" t="s">
        <v>88</v>
      </c>
      <c r="K15">
        <v>9</v>
      </c>
      <c r="L15">
        <f t="shared" si="0"/>
        <v>-2</v>
      </c>
      <c r="M15" t="s">
        <v>72</v>
      </c>
      <c r="N15" t="s">
        <v>72</v>
      </c>
    </row>
    <row r="16" spans="1:14">
      <c r="A16">
        <v>15</v>
      </c>
      <c r="B16" t="s">
        <v>78</v>
      </c>
      <c r="C16" t="s">
        <v>15</v>
      </c>
      <c r="D16" t="s">
        <v>89</v>
      </c>
      <c r="E16" t="s">
        <v>90</v>
      </c>
      <c r="F16" t="s">
        <v>18</v>
      </c>
      <c r="G16" t="s">
        <v>91</v>
      </c>
      <c r="H16">
        <v>11</v>
      </c>
      <c r="I16" t="s">
        <v>20</v>
      </c>
      <c r="J16" t="s">
        <v>92</v>
      </c>
      <c r="K16">
        <v>9</v>
      </c>
      <c r="L16">
        <f t="shared" si="0"/>
        <v>2</v>
      </c>
      <c r="M16" t="s">
        <v>93</v>
      </c>
      <c r="N16" t="s">
        <v>72</v>
      </c>
    </row>
    <row r="17" spans="1:14">
      <c r="A17">
        <v>16</v>
      </c>
      <c r="B17" t="s">
        <v>78</v>
      </c>
      <c r="C17" t="s">
        <v>15</v>
      </c>
      <c r="D17" t="s">
        <v>77</v>
      </c>
      <c r="E17" t="s">
        <v>53</v>
      </c>
      <c r="F17" t="s">
        <v>20</v>
      </c>
      <c r="G17" t="s">
        <v>75</v>
      </c>
      <c r="H17">
        <v>9</v>
      </c>
      <c r="I17" t="s">
        <v>20</v>
      </c>
      <c r="J17" t="s">
        <v>51</v>
      </c>
      <c r="K17">
        <v>9</v>
      </c>
      <c r="L17">
        <f t="shared" si="0"/>
        <v>0</v>
      </c>
      <c r="M17" t="s">
        <v>72</v>
      </c>
      <c r="N17" t="s">
        <v>72</v>
      </c>
    </row>
    <row r="18" spans="1:14">
      <c r="A18">
        <v>17</v>
      </c>
      <c r="B18" t="s">
        <v>94</v>
      </c>
      <c r="C18" t="s">
        <v>15</v>
      </c>
      <c r="D18" t="s">
        <v>61</v>
      </c>
      <c r="E18" t="s">
        <v>82</v>
      </c>
      <c r="F18" t="s">
        <v>68</v>
      </c>
      <c r="G18" t="s">
        <v>95</v>
      </c>
      <c r="H18">
        <v>8</v>
      </c>
      <c r="I18" t="s">
        <v>81</v>
      </c>
      <c r="J18" t="s">
        <v>79</v>
      </c>
      <c r="K18">
        <v>7</v>
      </c>
      <c r="L18">
        <f t="shared" si="0"/>
        <v>1</v>
      </c>
      <c r="M18" t="s">
        <v>72</v>
      </c>
      <c r="N18" t="s">
        <v>72</v>
      </c>
    </row>
    <row r="19" spans="1:14">
      <c r="A19">
        <v>18</v>
      </c>
      <c r="B19" t="s">
        <v>94</v>
      </c>
      <c r="C19" t="s">
        <v>15</v>
      </c>
      <c r="D19" t="s">
        <v>96</v>
      </c>
      <c r="E19" t="s">
        <v>55</v>
      </c>
      <c r="F19" t="s">
        <v>81</v>
      </c>
      <c r="G19" t="s">
        <v>49</v>
      </c>
      <c r="H19">
        <v>7</v>
      </c>
      <c r="I19" t="s">
        <v>54</v>
      </c>
      <c r="J19" t="s">
        <v>52</v>
      </c>
      <c r="K19">
        <v>9</v>
      </c>
      <c r="L19">
        <f t="shared" si="0"/>
        <v>-2</v>
      </c>
      <c r="M19" t="s">
        <v>72</v>
      </c>
      <c r="N19" t="s">
        <v>72</v>
      </c>
    </row>
    <row r="20" spans="1:14">
      <c r="A20">
        <v>19</v>
      </c>
      <c r="B20" t="s">
        <v>94</v>
      </c>
      <c r="C20" t="s">
        <v>15</v>
      </c>
      <c r="D20" t="s">
        <v>97</v>
      </c>
      <c r="E20" t="s">
        <v>84</v>
      </c>
      <c r="F20" t="s">
        <v>81</v>
      </c>
      <c r="G20" t="s">
        <v>71</v>
      </c>
      <c r="H20">
        <v>7</v>
      </c>
      <c r="I20" t="s">
        <v>98</v>
      </c>
      <c r="J20" t="s">
        <v>45</v>
      </c>
      <c r="K20">
        <v>6</v>
      </c>
      <c r="L20">
        <f t="shared" si="0"/>
        <v>1</v>
      </c>
      <c r="M20" t="s">
        <v>72</v>
      </c>
      <c r="N20" t="s">
        <v>72</v>
      </c>
    </row>
    <row r="21" spans="1:14">
      <c r="A21">
        <v>20</v>
      </c>
      <c r="B21" t="s">
        <v>94</v>
      </c>
      <c r="C21" t="s">
        <v>15</v>
      </c>
      <c r="D21" t="s">
        <v>99</v>
      </c>
      <c r="E21" t="s">
        <v>100</v>
      </c>
      <c r="F21" t="s">
        <v>101</v>
      </c>
      <c r="G21" t="s">
        <v>75</v>
      </c>
      <c r="H21">
        <v>15</v>
      </c>
      <c r="I21" t="s">
        <v>54</v>
      </c>
      <c r="J21" t="s">
        <v>102</v>
      </c>
      <c r="K21">
        <v>9</v>
      </c>
      <c r="L21">
        <f t="shared" si="0"/>
        <v>6</v>
      </c>
      <c r="M21" t="s">
        <v>72</v>
      </c>
      <c r="N21" t="s">
        <v>72</v>
      </c>
    </row>
    <row r="22" spans="1:14">
      <c r="A22">
        <v>21</v>
      </c>
      <c r="B22" t="s">
        <v>103</v>
      </c>
      <c r="C22" t="s">
        <v>15</v>
      </c>
      <c r="D22" t="s">
        <v>104</v>
      </c>
      <c r="E22" t="s">
        <v>35</v>
      </c>
      <c r="F22" t="s">
        <v>105</v>
      </c>
      <c r="G22" t="s">
        <v>106</v>
      </c>
      <c r="H22">
        <v>15</v>
      </c>
      <c r="I22" t="s">
        <v>20</v>
      </c>
      <c r="J22" t="s">
        <v>32</v>
      </c>
      <c r="K22">
        <v>11</v>
      </c>
      <c r="L22">
        <f t="shared" si="0"/>
        <v>4</v>
      </c>
      <c r="M22" t="s">
        <v>107</v>
      </c>
      <c r="N22" t="s">
        <v>108</v>
      </c>
    </row>
    <row r="23" spans="1:14">
      <c r="A23">
        <v>22</v>
      </c>
      <c r="B23" t="s">
        <v>103</v>
      </c>
      <c r="C23" t="s">
        <v>15</v>
      </c>
      <c r="D23" t="s">
        <v>92</v>
      </c>
      <c r="E23" t="s">
        <v>109</v>
      </c>
      <c r="F23" t="s">
        <v>98</v>
      </c>
      <c r="G23" t="s">
        <v>110</v>
      </c>
      <c r="H23">
        <v>7</v>
      </c>
      <c r="I23" t="s">
        <v>54</v>
      </c>
      <c r="J23" t="s">
        <v>111</v>
      </c>
      <c r="K23">
        <v>10</v>
      </c>
      <c r="L23">
        <f t="shared" si="0"/>
        <v>-3</v>
      </c>
      <c r="M23" t="s">
        <v>72</v>
      </c>
      <c r="N23" t="s">
        <v>72</v>
      </c>
    </row>
    <row r="24" spans="1:14">
      <c r="A24">
        <v>23</v>
      </c>
      <c r="B24" t="s">
        <v>103</v>
      </c>
      <c r="C24" t="s">
        <v>15</v>
      </c>
      <c r="D24" t="s">
        <v>112</v>
      </c>
      <c r="E24" t="s">
        <v>113</v>
      </c>
      <c r="F24" t="s">
        <v>98</v>
      </c>
      <c r="G24" t="s">
        <v>114</v>
      </c>
      <c r="H24">
        <v>7</v>
      </c>
      <c r="I24" t="s">
        <v>81</v>
      </c>
      <c r="J24" t="s">
        <v>115</v>
      </c>
      <c r="K24">
        <v>8</v>
      </c>
      <c r="L24">
        <f t="shared" si="0"/>
        <v>-1</v>
      </c>
      <c r="M24" t="s">
        <v>72</v>
      </c>
      <c r="N24" t="s">
        <v>72</v>
      </c>
    </row>
    <row r="25" spans="1:14">
      <c r="A25">
        <v>24</v>
      </c>
      <c r="B25" t="s">
        <v>103</v>
      </c>
      <c r="C25" t="s">
        <v>15</v>
      </c>
      <c r="D25" t="s">
        <v>69</v>
      </c>
      <c r="E25" t="s">
        <v>102</v>
      </c>
      <c r="F25" t="s">
        <v>68</v>
      </c>
      <c r="G25" t="s">
        <v>66</v>
      </c>
      <c r="H25">
        <v>9</v>
      </c>
      <c r="I25" t="s">
        <v>54</v>
      </c>
      <c r="J25" t="s">
        <v>100</v>
      </c>
      <c r="K25">
        <v>10</v>
      </c>
      <c r="L25">
        <f t="shared" si="0"/>
        <v>-1</v>
      </c>
      <c r="M25" t="s">
        <v>72</v>
      </c>
      <c r="N25" t="s">
        <v>72</v>
      </c>
    </row>
    <row r="26" spans="1:14">
      <c r="A26">
        <v>25</v>
      </c>
      <c r="B26" t="s">
        <v>116</v>
      </c>
      <c r="C26" t="s">
        <v>15</v>
      </c>
      <c r="D26" t="s">
        <v>25</v>
      </c>
      <c r="E26" t="s">
        <v>17</v>
      </c>
      <c r="F26" t="s">
        <v>14</v>
      </c>
      <c r="G26" t="s">
        <v>24</v>
      </c>
      <c r="H26">
        <v>7</v>
      </c>
      <c r="I26" t="s">
        <v>14</v>
      </c>
      <c r="J26" t="s">
        <v>16</v>
      </c>
      <c r="K26">
        <v>7</v>
      </c>
      <c r="L26">
        <f t="shared" si="0"/>
        <v>0</v>
      </c>
      <c r="M26" t="s">
        <v>117</v>
      </c>
      <c r="N26" t="s">
        <v>117</v>
      </c>
    </row>
    <row r="27" spans="1:14">
      <c r="A27">
        <v>26</v>
      </c>
      <c r="B27" t="s">
        <v>116</v>
      </c>
      <c r="C27" t="s">
        <v>15</v>
      </c>
      <c r="D27" t="s">
        <v>48</v>
      </c>
      <c r="E27" t="s">
        <v>32</v>
      </c>
      <c r="F27" t="s">
        <v>41</v>
      </c>
      <c r="G27" t="s">
        <v>56</v>
      </c>
      <c r="H27">
        <v>5</v>
      </c>
      <c r="I27" t="s">
        <v>30</v>
      </c>
      <c r="J27" t="s">
        <v>31</v>
      </c>
      <c r="K27">
        <v>6</v>
      </c>
      <c r="L27">
        <f t="shared" si="0"/>
        <v>-1</v>
      </c>
      <c r="M27" t="s">
        <v>117</v>
      </c>
      <c r="N27" t="s">
        <v>117</v>
      </c>
    </row>
    <row r="28" spans="1:14">
      <c r="A28">
        <v>27</v>
      </c>
      <c r="B28" t="s">
        <v>116</v>
      </c>
      <c r="C28" t="s">
        <v>15</v>
      </c>
      <c r="D28" t="s">
        <v>31</v>
      </c>
      <c r="E28" t="s">
        <v>56</v>
      </c>
      <c r="F28" t="s">
        <v>30</v>
      </c>
      <c r="G28" t="s">
        <v>32</v>
      </c>
      <c r="H28">
        <v>6</v>
      </c>
      <c r="I28" t="s">
        <v>41</v>
      </c>
      <c r="J28" t="s">
        <v>48</v>
      </c>
      <c r="K28">
        <v>5</v>
      </c>
      <c r="L28">
        <f t="shared" si="0"/>
        <v>1</v>
      </c>
      <c r="M28" t="s">
        <v>117</v>
      </c>
      <c r="N28" t="s">
        <v>117</v>
      </c>
    </row>
    <row r="29" spans="1:14">
      <c r="A29">
        <v>28</v>
      </c>
      <c r="B29" t="s">
        <v>116</v>
      </c>
      <c r="C29" t="s">
        <v>15</v>
      </c>
      <c r="D29" t="s">
        <v>16</v>
      </c>
      <c r="E29" t="s">
        <v>24</v>
      </c>
      <c r="F29" t="s">
        <v>14</v>
      </c>
      <c r="G29" t="s">
        <v>17</v>
      </c>
      <c r="H29">
        <v>7</v>
      </c>
      <c r="I29" t="s">
        <v>14</v>
      </c>
      <c r="J29" t="s">
        <v>25</v>
      </c>
      <c r="K29">
        <v>7</v>
      </c>
      <c r="L29">
        <f t="shared" si="0"/>
        <v>0</v>
      </c>
      <c r="M29" t="s">
        <v>117</v>
      </c>
      <c r="N29" t="s">
        <v>117</v>
      </c>
    </row>
    <row r="30" spans="1:14">
      <c r="A30">
        <v>29</v>
      </c>
      <c r="B30" t="s">
        <v>118</v>
      </c>
      <c r="C30" t="s">
        <v>15</v>
      </c>
      <c r="D30" t="s">
        <v>51</v>
      </c>
      <c r="E30" t="s">
        <v>42</v>
      </c>
      <c r="F30" t="s">
        <v>41</v>
      </c>
      <c r="G30" t="s">
        <v>52</v>
      </c>
      <c r="H30">
        <v>6</v>
      </c>
      <c r="I30" t="s">
        <v>41</v>
      </c>
      <c r="J30" t="s">
        <v>43</v>
      </c>
      <c r="K30">
        <v>6</v>
      </c>
      <c r="L30">
        <f t="shared" si="0"/>
        <v>0</v>
      </c>
      <c r="M30" t="s">
        <v>117</v>
      </c>
      <c r="N30" t="s">
        <v>117</v>
      </c>
    </row>
    <row r="31" spans="1:14">
      <c r="A31">
        <v>30</v>
      </c>
      <c r="B31" t="s">
        <v>118</v>
      </c>
      <c r="C31" t="s">
        <v>15</v>
      </c>
      <c r="D31" t="s">
        <v>43</v>
      </c>
      <c r="E31" t="s">
        <v>52</v>
      </c>
      <c r="F31" t="s">
        <v>41</v>
      </c>
      <c r="G31" t="s">
        <v>42</v>
      </c>
      <c r="H31">
        <v>6</v>
      </c>
      <c r="I31" t="s">
        <v>41</v>
      </c>
      <c r="J31" t="s">
        <v>51</v>
      </c>
      <c r="K31">
        <v>6</v>
      </c>
      <c r="L31">
        <f t="shared" si="0"/>
        <v>0</v>
      </c>
      <c r="M31" t="s">
        <v>117</v>
      </c>
      <c r="N31" t="s">
        <v>117</v>
      </c>
    </row>
    <row r="32" spans="1:14">
      <c r="A32">
        <v>31</v>
      </c>
      <c r="B32" t="s">
        <v>118</v>
      </c>
      <c r="C32" t="s">
        <v>15</v>
      </c>
      <c r="D32" t="s">
        <v>47</v>
      </c>
      <c r="E32" t="s">
        <v>37</v>
      </c>
      <c r="F32" t="s">
        <v>41</v>
      </c>
      <c r="G32" t="s">
        <v>46</v>
      </c>
      <c r="H32">
        <v>6</v>
      </c>
      <c r="I32" t="s">
        <v>30</v>
      </c>
      <c r="J32" t="s">
        <v>36</v>
      </c>
      <c r="K32">
        <v>7</v>
      </c>
      <c r="L32">
        <f t="shared" si="0"/>
        <v>-1</v>
      </c>
      <c r="M32" t="s">
        <v>119</v>
      </c>
      <c r="N32" t="s">
        <v>120</v>
      </c>
    </row>
    <row r="33" spans="1:14">
      <c r="A33">
        <v>32</v>
      </c>
      <c r="B33" t="s">
        <v>118</v>
      </c>
      <c r="C33" t="s">
        <v>15</v>
      </c>
      <c r="D33" t="s">
        <v>36</v>
      </c>
      <c r="E33" t="s">
        <v>46</v>
      </c>
      <c r="F33" t="s">
        <v>30</v>
      </c>
      <c r="G33" t="s">
        <v>37</v>
      </c>
      <c r="H33">
        <v>7</v>
      </c>
      <c r="I33" t="s">
        <v>41</v>
      </c>
      <c r="J33" t="s">
        <v>47</v>
      </c>
      <c r="K33">
        <v>6</v>
      </c>
      <c r="L33">
        <f t="shared" si="0"/>
        <v>1</v>
      </c>
      <c r="M33" t="s">
        <v>120</v>
      </c>
      <c r="N33" t="s">
        <v>119</v>
      </c>
    </row>
    <row r="34" spans="1:14">
      <c r="A34">
        <v>33</v>
      </c>
      <c r="B34" t="s">
        <v>121</v>
      </c>
      <c r="C34" t="s">
        <v>15</v>
      </c>
      <c r="D34" t="s">
        <v>38</v>
      </c>
      <c r="E34" t="s">
        <v>59</v>
      </c>
      <c r="F34" t="s">
        <v>58</v>
      </c>
      <c r="G34" t="s">
        <v>63</v>
      </c>
      <c r="H34">
        <v>6</v>
      </c>
      <c r="I34" t="s">
        <v>58</v>
      </c>
      <c r="J34" t="s">
        <v>60</v>
      </c>
      <c r="K34">
        <v>6</v>
      </c>
      <c r="L34">
        <f t="shared" ref="L34:L65" si="1">H34-K34</f>
        <v>0</v>
      </c>
      <c r="M34" t="s">
        <v>122</v>
      </c>
      <c r="N34" t="s">
        <v>123</v>
      </c>
    </row>
    <row r="35" spans="1:14">
      <c r="A35">
        <v>34</v>
      </c>
      <c r="B35" t="s">
        <v>121</v>
      </c>
      <c r="C35" t="s">
        <v>15</v>
      </c>
      <c r="D35" t="s">
        <v>60</v>
      </c>
      <c r="E35" t="s">
        <v>63</v>
      </c>
      <c r="F35" t="s">
        <v>58</v>
      </c>
      <c r="G35" t="s">
        <v>59</v>
      </c>
      <c r="H35">
        <v>6</v>
      </c>
      <c r="I35" t="s">
        <v>58</v>
      </c>
      <c r="J35" t="s">
        <v>38</v>
      </c>
      <c r="K35">
        <v>6</v>
      </c>
      <c r="L35">
        <f t="shared" si="1"/>
        <v>0</v>
      </c>
      <c r="M35" t="s">
        <v>123</v>
      </c>
      <c r="N35" t="s">
        <v>122</v>
      </c>
    </row>
    <row r="36" spans="1:14">
      <c r="A36">
        <v>35</v>
      </c>
      <c r="B36" t="s">
        <v>121</v>
      </c>
      <c r="C36" t="s">
        <v>15</v>
      </c>
      <c r="D36" t="s">
        <v>66</v>
      </c>
      <c r="E36" t="s">
        <v>74</v>
      </c>
      <c r="F36" t="s">
        <v>58</v>
      </c>
      <c r="G36" t="s">
        <v>67</v>
      </c>
      <c r="H36">
        <v>6</v>
      </c>
      <c r="I36" t="s">
        <v>58</v>
      </c>
      <c r="J36" t="s">
        <v>75</v>
      </c>
      <c r="K36">
        <v>6</v>
      </c>
      <c r="L36">
        <f t="shared" si="1"/>
        <v>0</v>
      </c>
      <c r="M36" t="s">
        <v>124</v>
      </c>
      <c r="N36" t="s">
        <v>125</v>
      </c>
    </row>
    <row r="37" spans="1:14">
      <c r="A37">
        <v>36</v>
      </c>
      <c r="B37" t="s">
        <v>121</v>
      </c>
      <c r="C37" t="s">
        <v>15</v>
      </c>
      <c r="D37" t="s">
        <v>75</v>
      </c>
      <c r="E37" t="s">
        <v>67</v>
      </c>
      <c r="F37" t="s">
        <v>58</v>
      </c>
      <c r="G37" t="s">
        <v>74</v>
      </c>
      <c r="H37">
        <v>6</v>
      </c>
      <c r="I37" t="s">
        <v>58</v>
      </c>
      <c r="J37" t="s">
        <v>66</v>
      </c>
      <c r="K37">
        <v>6</v>
      </c>
      <c r="L37">
        <f t="shared" si="1"/>
        <v>0</v>
      </c>
      <c r="M37" t="s">
        <v>125</v>
      </c>
      <c r="N37" t="s">
        <v>124</v>
      </c>
    </row>
    <row r="38" spans="1:14">
      <c r="A38">
        <v>37</v>
      </c>
      <c r="B38" t="s">
        <v>126</v>
      </c>
      <c r="C38" t="s">
        <v>15</v>
      </c>
      <c r="D38" t="s">
        <v>80</v>
      </c>
      <c r="E38" t="s">
        <v>87</v>
      </c>
      <c r="F38" t="s">
        <v>78</v>
      </c>
      <c r="G38" t="s">
        <v>79</v>
      </c>
      <c r="H38">
        <v>6</v>
      </c>
      <c r="I38" t="s">
        <v>78</v>
      </c>
      <c r="J38" t="s">
        <v>86</v>
      </c>
      <c r="K38">
        <v>6</v>
      </c>
      <c r="L38">
        <f t="shared" si="1"/>
        <v>0</v>
      </c>
      <c r="M38" t="s">
        <v>127</v>
      </c>
      <c r="N38" t="s">
        <v>128</v>
      </c>
    </row>
    <row r="39" spans="1:14">
      <c r="A39">
        <v>38</v>
      </c>
      <c r="B39" t="s">
        <v>126</v>
      </c>
      <c r="C39" t="s">
        <v>15</v>
      </c>
      <c r="D39" t="s">
        <v>86</v>
      </c>
      <c r="E39" t="s">
        <v>79</v>
      </c>
      <c r="F39" t="s">
        <v>78</v>
      </c>
      <c r="G39" t="s">
        <v>87</v>
      </c>
      <c r="H39">
        <v>6</v>
      </c>
      <c r="I39" t="s">
        <v>78</v>
      </c>
      <c r="J39" t="s">
        <v>80</v>
      </c>
      <c r="K39">
        <v>6</v>
      </c>
      <c r="L39">
        <f t="shared" si="1"/>
        <v>0</v>
      </c>
      <c r="M39" t="s">
        <v>128</v>
      </c>
      <c r="N39" t="s">
        <v>127</v>
      </c>
    </row>
    <row r="40" spans="1:14">
      <c r="A40">
        <v>39</v>
      </c>
      <c r="B40" t="s">
        <v>126</v>
      </c>
      <c r="C40" t="s">
        <v>15</v>
      </c>
      <c r="D40" t="s">
        <v>77</v>
      </c>
      <c r="E40" t="s">
        <v>89</v>
      </c>
      <c r="F40" t="s">
        <v>78</v>
      </c>
      <c r="G40" t="s">
        <v>53</v>
      </c>
      <c r="H40">
        <v>6</v>
      </c>
      <c r="I40" t="s">
        <v>78</v>
      </c>
      <c r="J40" t="s">
        <v>90</v>
      </c>
      <c r="K40">
        <v>6</v>
      </c>
      <c r="L40">
        <f t="shared" si="1"/>
        <v>0</v>
      </c>
      <c r="M40" t="s">
        <v>129</v>
      </c>
      <c r="N40" t="s">
        <v>130</v>
      </c>
    </row>
    <row r="41" spans="1:14">
      <c r="A41">
        <v>40</v>
      </c>
      <c r="B41" t="s">
        <v>126</v>
      </c>
      <c r="C41" t="s">
        <v>15</v>
      </c>
      <c r="D41" t="s">
        <v>90</v>
      </c>
      <c r="E41" t="s">
        <v>53</v>
      </c>
      <c r="F41" t="s">
        <v>78</v>
      </c>
      <c r="G41" t="s">
        <v>89</v>
      </c>
      <c r="H41">
        <v>6</v>
      </c>
      <c r="I41" t="s">
        <v>78</v>
      </c>
      <c r="J41" t="s">
        <v>77</v>
      </c>
      <c r="K41">
        <v>6</v>
      </c>
      <c r="L41">
        <f t="shared" si="1"/>
        <v>0</v>
      </c>
      <c r="M41" t="s">
        <v>130</v>
      </c>
      <c r="N41" t="s">
        <v>129</v>
      </c>
    </row>
    <row r="42" spans="1:14">
      <c r="A42">
        <v>41</v>
      </c>
      <c r="B42" t="s">
        <v>131</v>
      </c>
      <c r="C42" t="s">
        <v>15</v>
      </c>
      <c r="D42" t="s">
        <v>55</v>
      </c>
      <c r="E42" t="s">
        <v>82</v>
      </c>
      <c r="F42" t="s">
        <v>94</v>
      </c>
      <c r="G42" t="s">
        <v>96</v>
      </c>
      <c r="H42">
        <v>6</v>
      </c>
      <c r="I42" t="s">
        <v>94</v>
      </c>
      <c r="J42" t="s">
        <v>61</v>
      </c>
      <c r="K42">
        <v>6</v>
      </c>
      <c r="L42">
        <f t="shared" si="1"/>
        <v>0</v>
      </c>
      <c r="M42" t="s">
        <v>132</v>
      </c>
      <c r="N42" t="s">
        <v>133</v>
      </c>
    </row>
    <row r="43" spans="1:14">
      <c r="A43">
        <v>42</v>
      </c>
      <c r="B43" t="s">
        <v>131</v>
      </c>
      <c r="C43" t="s">
        <v>15</v>
      </c>
      <c r="D43" t="s">
        <v>61</v>
      </c>
      <c r="E43" t="s">
        <v>96</v>
      </c>
      <c r="F43" t="s">
        <v>94</v>
      </c>
      <c r="G43" t="s">
        <v>82</v>
      </c>
      <c r="H43">
        <v>6</v>
      </c>
      <c r="I43" t="s">
        <v>94</v>
      </c>
      <c r="J43" t="s">
        <v>55</v>
      </c>
      <c r="K43">
        <v>6</v>
      </c>
      <c r="L43">
        <f t="shared" si="1"/>
        <v>0</v>
      </c>
      <c r="M43" t="s">
        <v>133</v>
      </c>
      <c r="N43" t="s">
        <v>132</v>
      </c>
    </row>
    <row r="44" spans="1:14">
      <c r="A44">
        <v>43</v>
      </c>
      <c r="B44" t="s">
        <v>131</v>
      </c>
      <c r="C44" t="s">
        <v>15</v>
      </c>
      <c r="D44" t="s">
        <v>97</v>
      </c>
      <c r="E44" t="s">
        <v>99</v>
      </c>
      <c r="F44" t="s">
        <v>94</v>
      </c>
      <c r="G44" t="s">
        <v>84</v>
      </c>
      <c r="H44">
        <v>6</v>
      </c>
      <c r="I44" t="s">
        <v>94</v>
      </c>
      <c r="J44" t="s">
        <v>100</v>
      </c>
      <c r="K44">
        <v>6</v>
      </c>
      <c r="L44">
        <f t="shared" si="1"/>
        <v>0</v>
      </c>
      <c r="M44" t="s">
        <v>134</v>
      </c>
      <c r="N44" t="s">
        <v>135</v>
      </c>
    </row>
    <row r="45" spans="1:14">
      <c r="A45">
        <v>44</v>
      </c>
      <c r="B45" t="s">
        <v>131</v>
      </c>
      <c r="C45" t="s">
        <v>15</v>
      </c>
      <c r="D45" t="s">
        <v>100</v>
      </c>
      <c r="E45" t="s">
        <v>84</v>
      </c>
      <c r="F45" t="s">
        <v>94</v>
      </c>
      <c r="G45" t="s">
        <v>99</v>
      </c>
      <c r="H45">
        <v>6</v>
      </c>
      <c r="I45" t="s">
        <v>94</v>
      </c>
      <c r="J45" t="s">
        <v>97</v>
      </c>
      <c r="K45">
        <v>6</v>
      </c>
      <c r="L45">
        <f t="shared" si="1"/>
        <v>0</v>
      </c>
      <c r="M45" t="s">
        <v>135</v>
      </c>
      <c r="N45" t="s">
        <v>134</v>
      </c>
    </row>
    <row r="46" spans="1:14">
      <c r="A46">
        <v>45</v>
      </c>
      <c r="B46" t="s">
        <v>136</v>
      </c>
      <c r="C46" t="s">
        <v>15</v>
      </c>
      <c r="D46" t="s">
        <v>92</v>
      </c>
      <c r="E46" t="s">
        <v>104</v>
      </c>
      <c r="F46" t="s">
        <v>103</v>
      </c>
      <c r="G46" t="s">
        <v>109</v>
      </c>
      <c r="H46">
        <v>6</v>
      </c>
      <c r="I46" t="s">
        <v>103</v>
      </c>
      <c r="J46" t="s">
        <v>35</v>
      </c>
      <c r="K46">
        <v>6</v>
      </c>
      <c r="L46">
        <f t="shared" si="1"/>
        <v>0</v>
      </c>
      <c r="M46" t="s">
        <v>137</v>
      </c>
      <c r="N46" t="s">
        <v>138</v>
      </c>
    </row>
    <row r="47" spans="1:14">
      <c r="A47">
        <v>46</v>
      </c>
      <c r="B47" t="s">
        <v>136</v>
      </c>
      <c r="C47" t="s">
        <v>15</v>
      </c>
      <c r="D47" t="s">
        <v>35</v>
      </c>
      <c r="E47" t="s">
        <v>109</v>
      </c>
      <c r="F47" t="s">
        <v>103</v>
      </c>
      <c r="G47" t="s">
        <v>104</v>
      </c>
      <c r="H47">
        <v>6</v>
      </c>
      <c r="I47" t="s">
        <v>103</v>
      </c>
      <c r="J47" t="s">
        <v>92</v>
      </c>
      <c r="K47">
        <v>6</v>
      </c>
      <c r="L47">
        <f t="shared" si="1"/>
        <v>0</v>
      </c>
      <c r="M47" t="s">
        <v>138</v>
      </c>
      <c r="N47" t="s">
        <v>137</v>
      </c>
    </row>
    <row r="48" spans="1:14">
      <c r="A48">
        <v>47</v>
      </c>
      <c r="B48" t="s">
        <v>136</v>
      </c>
      <c r="C48" t="s">
        <v>15</v>
      </c>
      <c r="D48" t="s">
        <v>112</v>
      </c>
      <c r="E48" t="s">
        <v>69</v>
      </c>
      <c r="F48" t="s">
        <v>103</v>
      </c>
      <c r="G48" t="s">
        <v>113</v>
      </c>
      <c r="H48">
        <v>6</v>
      </c>
      <c r="I48" t="s">
        <v>103</v>
      </c>
      <c r="J48" t="s">
        <v>102</v>
      </c>
      <c r="K48">
        <v>6</v>
      </c>
      <c r="L48">
        <f t="shared" si="1"/>
        <v>0</v>
      </c>
      <c r="M48" t="s">
        <v>139</v>
      </c>
      <c r="N48" t="s">
        <v>140</v>
      </c>
    </row>
    <row r="49" spans="1:14">
      <c r="A49">
        <v>48</v>
      </c>
      <c r="B49" t="s">
        <v>136</v>
      </c>
      <c r="C49" t="s">
        <v>15</v>
      </c>
      <c r="D49" t="s">
        <v>102</v>
      </c>
      <c r="E49" t="s">
        <v>113</v>
      </c>
      <c r="F49" t="s">
        <v>103</v>
      </c>
      <c r="G49" t="s">
        <v>69</v>
      </c>
      <c r="H49">
        <v>6</v>
      </c>
      <c r="I49" t="s">
        <v>103</v>
      </c>
      <c r="J49" t="s">
        <v>112</v>
      </c>
      <c r="K49">
        <v>6</v>
      </c>
      <c r="L49">
        <f t="shared" si="1"/>
        <v>0</v>
      </c>
      <c r="M49" t="s">
        <v>140</v>
      </c>
      <c r="N49" t="s">
        <v>139</v>
      </c>
    </row>
    <row r="50" spans="1:14">
      <c r="A50">
        <v>49</v>
      </c>
      <c r="B50" t="s">
        <v>141</v>
      </c>
      <c r="C50" t="s">
        <v>15</v>
      </c>
      <c r="D50" t="s">
        <v>43</v>
      </c>
      <c r="E50" t="s">
        <v>51</v>
      </c>
      <c r="F50" t="s">
        <v>118</v>
      </c>
      <c r="G50" t="s">
        <v>52</v>
      </c>
      <c r="H50">
        <v>5</v>
      </c>
      <c r="I50" t="s">
        <v>118</v>
      </c>
      <c r="J50" t="s">
        <v>42</v>
      </c>
      <c r="K50">
        <v>5</v>
      </c>
      <c r="L50">
        <f t="shared" si="1"/>
        <v>0</v>
      </c>
      <c r="M50" t="s">
        <v>142</v>
      </c>
      <c r="N50" t="s">
        <v>143</v>
      </c>
    </row>
    <row r="51" spans="1:14">
      <c r="A51">
        <v>50</v>
      </c>
      <c r="B51" t="s">
        <v>141</v>
      </c>
      <c r="C51" t="s">
        <v>15</v>
      </c>
      <c r="D51" t="s">
        <v>52</v>
      </c>
      <c r="E51" t="s">
        <v>42</v>
      </c>
      <c r="F51" t="s">
        <v>118</v>
      </c>
      <c r="G51" t="s">
        <v>43</v>
      </c>
      <c r="H51">
        <v>5</v>
      </c>
      <c r="I51" t="s">
        <v>118</v>
      </c>
      <c r="J51" t="s">
        <v>51</v>
      </c>
      <c r="K51">
        <v>5</v>
      </c>
      <c r="L51">
        <f t="shared" si="1"/>
        <v>0</v>
      </c>
      <c r="M51" t="s">
        <v>142</v>
      </c>
      <c r="N51" t="s">
        <v>143</v>
      </c>
    </row>
    <row r="52" spans="1:14">
      <c r="A52">
        <v>51</v>
      </c>
      <c r="B52" t="s">
        <v>141</v>
      </c>
      <c r="C52" t="s">
        <v>15</v>
      </c>
      <c r="D52" t="s">
        <v>48</v>
      </c>
      <c r="E52" t="s">
        <v>31</v>
      </c>
      <c r="F52" t="s">
        <v>116</v>
      </c>
      <c r="G52" t="s">
        <v>32</v>
      </c>
      <c r="H52">
        <v>6</v>
      </c>
      <c r="I52" t="s">
        <v>116</v>
      </c>
      <c r="J52" t="s">
        <v>56</v>
      </c>
      <c r="K52">
        <v>6</v>
      </c>
      <c r="L52">
        <f t="shared" si="1"/>
        <v>0</v>
      </c>
      <c r="M52" t="s">
        <v>144</v>
      </c>
      <c r="N52" t="s">
        <v>145</v>
      </c>
    </row>
    <row r="53" spans="1:14">
      <c r="A53">
        <v>52</v>
      </c>
      <c r="B53" t="s">
        <v>141</v>
      </c>
      <c r="C53" t="s">
        <v>15</v>
      </c>
      <c r="D53" t="s">
        <v>32</v>
      </c>
      <c r="E53" t="s">
        <v>56</v>
      </c>
      <c r="F53" t="s">
        <v>116</v>
      </c>
      <c r="G53" t="s">
        <v>48</v>
      </c>
      <c r="H53">
        <v>6</v>
      </c>
      <c r="I53" t="s">
        <v>116</v>
      </c>
      <c r="J53" t="s">
        <v>31</v>
      </c>
      <c r="K53">
        <v>6</v>
      </c>
      <c r="L53">
        <f t="shared" si="1"/>
        <v>0</v>
      </c>
      <c r="M53" t="s">
        <v>144</v>
      </c>
      <c r="N53" t="s">
        <v>145</v>
      </c>
    </row>
    <row r="54" spans="1:14">
      <c r="A54">
        <v>53</v>
      </c>
      <c r="B54" t="s">
        <v>141</v>
      </c>
      <c r="C54" t="s">
        <v>15</v>
      </c>
      <c r="D54" t="s">
        <v>25</v>
      </c>
      <c r="E54" t="s">
        <v>16</v>
      </c>
      <c r="F54" t="s">
        <v>116</v>
      </c>
      <c r="G54" t="s">
        <v>17</v>
      </c>
      <c r="H54">
        <v>6</v>
      </c>
      <c r="I54" t="s">
        <v>116</v>
      </c>
      <c r="J54" t="s">
        <v>24</v>
      </c>
      <c r="K54">
        <v>6</v>
      </c>
      <c r="L54">
        <f t="shared" si="1"/>
        <v>0</v>
      </c>
      <c r="M54" t="s">
        <v>146</v>
      </c>
      <c r="N54" t="s">
        <v>147</v>
      </c>
    </row>
    <row r="55" spans="1:14">
      <c r="A55">
        <v>54</v>
      </c>
      <c r="B55" t="s">
        <v>141</v>
      </c>
      <c r="C55" t="s">
        <v>15</v>
      </c>
      <c r="D55" t="s">
        <v>17</v>
      </c>
      <c r="E55" t="s">
        <v>24</v>
      </c>
      <c r="F55" t="s">
        <v>116</v>
      </c>
      <c r="G55" t="s">
        <v>25</v>
      </c>
      <c r="H55">
        <v>6</v>
      </c>
      <c r="I55" t="s">
        <v>116</v>
      </c>
      <c r="J55" t="s">
        <v>16</v>
      </c>
      <c r="K55">
        <v>6</v>
      </c>
      <c r="L55">
        <f t="shared" si="1"/>
        <v>0</v>
      </c>
      <c r="M55" t="s">
        <v>146</v>
      </c>
      <c r="N55" t="s">
        <v>147</v>
      </c>
    </row>
    <row r="56" spans="1:14">
      <c r="A56">
        <v>55</v>
      </c>
      <c r="B56" t="s">
        <v>148</v>
      </c>
      <c r="C56" t="s">
        <v>15</v>
      </c>
      <c r="D56" t="s">
        <v>63</v>
      </c>
      <c r="E56" t="s">
        <v>59</v>
      </c>
      <c r="F56" t="s">
        <v>121</v>
      </c>
      <c r="G56" t="s">
        <v>60</v>
      </c>
      <c r="H56">
        <v>5</v>
      </c>
      <c r="I56" t="s">
        <v>121</v>
      </c>
      <c r="J56" t="s">
        <v>38</v>
      </c>
      <c r="K56">
        <v>5</v>
      </c>
      <c r="L56">
        <f t="shared" si="1"/>
        <v>0</v>
      </c>
      <c r="M56" t="s">
        <v>149</v>
      </c>
      <c r="N56" t="s">
        <v>150</v>
      </c>
    </row>
    <row r="57" spans="1:14">
      <c r="A57">
        <v>56</v>
      </c>
      <c r="B57" t="s">
        <v>148</v>
      </c>
      <c r="C57" t="s">
        <v>15</v>
      </c>
      <c r="D57" t="s">
        <v>60</v>
      </c>
      <c r="E57" t="s">
        <v>38</v>
      </c>
      <c r="F57" t="s">
        <v>121</v>
      </c>
      <c r="G57" t="s">
        <v>63</v>
      </c>
      <c r="H57">
        <v>5</v>
      </c>
      <c r="I57" t="s">
        <v>121</v>
      </c>
      <c r="J57" t="s">
        <v>59</v>
      </c>
      <c r="K57">
        <v>5</v>
      </c>
      <c r="L57">
        <f t="shared" si="1"/>
        <v>0</v>
      </c>
      <c r="M57" t="s">
        <v>149</v>
      </c>
      <c r="N57" t="s">
        <v>150</v>
      </c>
    </row>
    <row r="58" spans="1:14">
      <c r="A58">
        <v>57</v>
      </c>
      <c r="B58" t="s">
        <v>148</v>
      </c>
      <c r="C58" t="s">
        <v>15</v>
      </c>
      <c r="D58" t="s">
        <v>67</v>
      </c>
      <c r="E58" t="s">
        <v>74</v>
      </c>
      <c r="F58" t="s">
        <v>121</v>
      </c>
      <c r="G58" t="s">
        <v>75</v>
      </c>
      <c r="H58">
        <v>5</v>
      </c>
      <c r="I58" t="s">
        <v>121</v>
      </c>
      <c r="J58" t="s">
        <v>66</v>
      </c>
      <c r="K58">
        <v>5</v>
      </c>
      <c r="L58">
        <f t="shared" si="1"/>
        <v>0</v>
      </c>
      <c r="M58" t="s">
        <v>151</v>
      </c>
      <c r="N58" t="s">
        <v>152</v>
      </c>
    </row>
    <row r="59" spans="1:14">
      <c r="A59">
        <v>58</v>
      </c>
      <c r="B59" t="s">
        <v>148</v>
      </c>
      <c r="C59" t="s">
        <v>15</v>
      </c>
      <c r="D59" t="s">
        <v>75</v>
      </c>
      <c r="E59" t="s">
        <v>66</v>
      </c>
      <c r="F59" t="s">
        <v>121</v>
      </c>
      <c r="G59" t="s">
        <v>67</v>
      </c>
      <c r="H59">
        <v>5</v>
      </c>
      <c r="I59" t="s">
        <v>121</v>
      </c>
      <c r="J59" t="s">
        <v>74</v>
      </c>
      <c r="K59">
        <v>5</v>
      </c>
      <c r="L59">
        <f t="shared" si="1"/>
        <v>0</v>
      </c>
      <c r="M59" t="s">
        <v>151</v>
      </c>
      <c r="N59" t="s">
        <v>152</v>
      </c>
    </row>
    <row r="60" spans="1:14">
      <c r="A60">
        <v>59</v>
      </c>
      <c r="B60" t="s">
        <v>148</v>
      </c>
      <c r="C60" t="s">
        <v>15</v>
      </c>
      <c r="D60" t="s">
        <v>47</v>
      </c>
      <c r="E60" t="s">
        <v>36</v>
      </c>
      <c r="F60" t="s">
        <v>118</v>
      </c>
      <c r="G60" t="s">
        <v>37</v>
      </c>
      <c r="H60">
        <v>6</v>
      </c>
      <c r="I60" t="s">
        <v>118</v>
      </c>
      <c r="J60" t="s">
        <v>46</v>
      </c>
      <c r="K60">
        <v>6</v>
      </c>
      <c r="L60">
        <f t="shared" si="1"/>
        <v>0</v>
      </c>
      <c r="M60" t="s">
        <v>153</v>
      </c>
      <c r="N60" t="s">
        <v>154</v>
      </c>
    </row>
    <row r="61" spans="1:14">
      <c r="A61">
        <v>60</v>
      </c>
      <c r="B61" t="s">
        <v>148</v>
      </c>
      <c r="C61" t="s">
        <v>15</v>
      </c>
      <c r="D61" t="s">
        <v>37</v>
      </c>
      <c r="E61" t="s">
        <v>46</v>
      </c>
      <c r="F61" t="s">
        <v>118</v>
      </c>
      <c r="G61" t="s">
        <v>47</v>
      </c>
      <c r="H61">
        <v>6</v>
      </c>
      <c r="I61" t="s">
        <v>118</v>
      </c>
      <c r="J61" t="s">
        <v>36</v>
      </c>
      <c r="K61">
        <v>6</v>
      </c>
      <c r="L61">
        <f t="shared" si="1"/>
        <v>0</v>
      </c>
      <c r="M61" t="s">
        <v>153</v>
      </c>
      <c r="N61" t="s">
        <v>154</v>
      </c>
    </row>
    <row r="62" spans="1:14">
      <c r="A62">
        <v>61</v>
      </c>
      <c r="B62" t="s">
        <v>155</v>
      </c>
      <c r="C62" t="s">
        <v>15</v>
      </c>
      <c r="D62" t="s">
        <v>55</v>
      </c>
      <c r="E62" t="s">
        <v>61</v>
      </c>
      <c r="F62" t="s">
        <v>131</v>
      </c>
      <c r="G62" t="s">
        <v>82</v>
      </c>
      <c r="H62">
        <v>4</v>
      </c>
      <c r="I62" t="s">
        <v>131</v>
      </c>
      <c r="J62" t="s">
        <v>96</v>
      </c>
      <c r="K62">
        <v>4</v>
      </c>
      <c r="L62">
        <f t="shared" si="1"/>
        <v>0</v>
      </c>
      <c r="M62" t="s">
        <v>156</v>
      </c>
      <c r="N62" t="s">
        <v>157</v>
      </c>
    </row>
    <row r="63" spans="1:14">
      <c r="A63">
        <v>62</v>
      </c>
      <c r="B63" t="s">
        <v>155</v>
      </c>
      <c r="C63" t="s">
        <v>15</v>
      </c>
      <c r="D63" t="s">
        <v>82</v>
      </c>
      <c r="E63" t="s">
        <v>96</v>
      </c>
      <c r="F63" t="s">
        <v>131</v>
      </c>
      <c r="G63" t="s">
        <v>55</v>
      </c>
      <c r="H63">
        <v>4</v>
      </c>
      <c r="I63" t="s">
        <v>131</v>
      </c>
      <c r="J63" t="s">
        <v>61</v>
      </c>
      <c r="K63">
        <v>4</v>
      </c>
      <c r="L63">
        <f t="shared" si="1"/>
        <v>0</v>
      </c>
      <c r="M63" t="s">
        <v>156</v>
      </c>
      <c r="N63" t="s">
        <v>157</v>
      </c>
    </row>
    <row r="64" spans="1:14">
      <c r="A64">
        <v>63</v>
      </c>
      <c r="B64" t="s">
        <v>155</v>
      </c>
      <c r="C64" t="s">
        <v>15</v>
      </c>
      <c r="D64" t="s">
        <v>53</v>
      </c>
      <c r="E64" t="s">
        <v>89</v>
      </c>
      <c r="F64" t="s">
        <v>126</v>
      </c>
      <c r="G64" t="s">
        <v>90</v>
      </c>
      <c r="H64">
        <v>5</v>
      </c>
      <c r="I64" t="s">
        <v>126</v>
      </c>
      <c r="J64" t="s">
        <v>77</v>
      </c>
      <c r="K64">
        <v>5</v>
      </c>
      <c r="L64">
        <f t="shared" si="1"/>
        <v>0</v>
      </c>
      <c r="M64" t="s">
        <v>158</v>
      </c>
      <c r="N64" t="s">
        <v>159</v>
      </c>
    </row>
    <row r="65" spans="1:14">
      <c r="A65">
        <v>64</v>
      </c>
      <c r="B65" t="s">
        <v>155</v>
      </c>
      <c r="C65" t="s">
        <v>15</v>
      </c>
      <c r="D65" t="s">
        <v>90</v>
      </c>
      <c r="E65" t="s">
        <v>77</v>
      </c>
      <c r="F65" t="s">
        <v>126</v>
      </c>
      <c r="G65" t="s">
        <v>53</v>
      </c>
      <c r="H65">
        <v>5</v>
      </c>
      <c r="I65" t="s">
        <v>126</v>
      </c>
      <c r="J65" t="s">
        <v>89</v>
      </c>
      <c r="K65">
        <v>5</v>
      </c>
      <c r="L65">
        <f t="shared" si="1"/>
        <v>0</v>
      </c>
      <c r="M65" t="s">
        <v>158</v>
      </c>
      <c r="N65" t="s">
        <v>159</v>
      </c>
    </row>
    <row r="66" spans="1:14">
      <c r="A66">
        <v>65</v>
      </c>
      <c r="B66" t="s">
        <v>155</v>
      </c>
      <c r="C66" t="s">
        <v>15</v>
      </c>
      <c r="D66" t="s">
        <v>87</v>
      </c>
      <c r="E66" t="s">
        <v>79</v>
      </c>
      <c r="F66" t="s">
        <v>126</v>
      </c>
      <c r="G66" t="s">
        <v>80</v>
      </c>
      <c r="H66">
        <v>5</v>
      </c>
      <c r="I66" t="s">
        <v>126</v>
      </c>
      <c r="J66" t="s">
        <v>86</v>
      </c>
      <c r="K66">
        <v>5</v>
      </c>
      <c r="L66">
        <f t="shared" ref="L66:L97" si="2">H66-K66</f>
        <v>0</v>
      </c>
      <c r="M66" t="s">
        <v>160</v>
      </c>
      <c r="N66" t="s">
        <v>161</v>
      </c>
    </row>
    <row r="67" spans="1:14">
      <c r="A67">
        <v>66</v>
      </c>
      <c r="B67" t="s">
        <v>155</v>
      </c>
      <c r="C67" t="s">
        <v>15</v>
      </c>
      <c r="D67" t="s">
        <v>80</v>
      </c>
      <c r="E67" t="s">
        <v>86</v>
      </c>
      <c r="F67" t="s">
        <v>126</v>
      </c>
      <c r="G67" t="s">
        <v>87</v>
      </c>
      <c r="H67">
        <v>5</v>
      </c>
      <c r="I67" t="s">
        <v>126</v>
      </c>
      <c r="J67" t="s">
        <v>79</v>
      </c>
      <c r="K67">
        <v>5</v>
      </c>
      <c r="L67">
        <f t="shared" si="2"/>
        <v>0</v>
      </c>
      <c r="M67" t="s">
        <v>160</v>
      </c>
      <c r="N67" t="s">
        <v>161</v>
      </c>
    </row>
    <row r="68" spans="1:14">
      <c r="A68">
        <v>67</v>
      </c>
      <c r="B68" t="s">
        <v>162</v>
      </c>
      <c r="C68" t="s">
        <v>15</v>
      </c>
      <c r="D68" t="s">
        <v>35</v>
      </c>
      <c r="E68" t="s">
        <v>92</v>
      </c>
      <c r="F68" t="s">
        <v>136</v>
      </c>
      <c r="G68" t="s">
        <v>109</v>
      </c>
      <c r="H68">
        <v>4</v>
      </c>
      <c r="I68" t="s">
        <v>136</v>
      </c>
      <c r="J68" t="s">
        <v>104</v>
      </c>
      <c r="K68">
        <v>4</v>
      </c>
      <c r="L68">
        <f t="shared" si="2"/>
        <v>0</v>
      </c>
      <c r="M68" t="s">
        <v>163</v>
      </c>
      <c r="N68" t="s">
        <v>164</v>
      </c>
    </row>
    <row r="69" spans="1:14">
      <c r="A69">
        <v>68</v>
      </c>
      <c r="B69" t="s">
        <v>162</v>
      </c>
      <c r="C69" t="s">
        <v>15</v>
      </c>
      <c r="D69" t="s">
        <v>109</v>
      </c>
      <c r="E69" t="s">
        <v>104</v>
      </c>
      <c r="F69" t="s">
        <v>136</v>
      </c>
      <c r="G69" t="s">
        <v>35</v>
      </c>
      <c r="H69">
        <v>4</v>
      </c>
      <c r="I69" t="s">
        <v>136</v>
      </c>
      <c r="J69" t="s">
        <v>92</v>
      </c>
      <c r="K69">
        <v>4</v>
      </c>
      <c r="L69">
        <f t="shared" si="2"/>
        <v>0</v>
      </c>
      <c r="M69" t="s">
        <v>163</v>
      </c>
      <c r="N69" t="s">
        <v>164</v>
      </c>
    </row>
    <row r="70" spans="1:14">
      <c r="A70">
        <v>69</v>
      </c>
      <c r="B70" t="s">
        <v>162</v>
      </c>
      <c r="C70" t="s">
        <v>15</v>
      </c>
      <c r="D70" t="s">
        <v>84</v>
      </c>
      <c r="E70" t="s">
        <v>99</v>
      </c>
      <c r="F70" t="s">
        <v>131</v>
      </c>
      <c r="G70" t="s">
        <v>100</v>
      </c>
      <c r="H70">
        <v>5</v>
      </c>
      <c r="I70" t="s">
        <v>131</v>
      </c>
      <c r="J70" t="s">
        <v>97</v>
      </c>
      <c r="K70">
        <v>5</v>
      </c>
      <c r="L70">
        <f t="shared" si="2"/>
        <v>0</v>
      </c>
      <c r="M70" t="s">
        <v>165</v>
      </c>
      <c r="N70" t="s">
        <v>166</v>
      </c>
    </row>
    <row r="71" spans="1:14">
      <c r="A71">
        <v>70</v>
      </c>
      <c r="B71" t="s">
        <v>162</v>
      </c>
      <c r="C71" t="s">
        <v>15</v>
      </c>
      <c r="D71" t="s">
        <v>100</v>
      </c>
      <c r="E71" t="s">
        <v>97</v>
      </c>
      <c r="F71" t="s">
        <v>131</v>
      </c>
      <c r="G71" t="s">
        <v>84</v>
      </c>
      <c r="H71">
        <v>5</v>
      </c>
      <c r="I71" t="s">
        <v>131</v>
      </c>
      <c r="J71" t="s">
        <v>99</v>
      </c>
      <c r="K71">
        <v>5</v>
      </c>
      <c r="L71">
        <f t="shared" si="2"/>
        <v>0</v>
      </c>
      <c r="M71" t="s">
        <v>165</v>
      </c>
      <c r="N71" t="s">
        <v>166</v>
      </c>
    </row>
    <row r="72" spans="1:14">
      <c r="A72">
        <v>71</v>
      </c>
      <c r="B72" t="s">
        <v>162</v>
      </c>
      <c r="C72" t="s">
        <v>15</v>
      </c>
      <c r="D72" t="s">
        <v>102</v>
      </c>
      <c r="E72" t="s">
        <v>112</v>
      </c>
      <c r="F72" t="s">
        <v>136</v>
      </c>
      <c r="G72" t="s">
        <v>113</v>
      </c>
      <c r="H72">
        <v>4</v>
      </c>
      <c r="I72" t="s">
        <v>136</v>
      </c>
      <c r="J72" t="s">
        <v>69</v>
      </c>
      <c r="K72">
        <v>4</v>
      </c>
      <c r="L72">
        <f t="shared" si="2"/>
        <v>0</v>
      </c>
      <c r="M72" t="s">
        <v>167</v>
      </c>
      <c r="N72" t="s">
        <v>168</v>
      </c>
    </row>
    <row r="73" spans="1:14">
      <c r="A73">
        <v>72</v>
      </c>
      <c r="B73" t="s">
        <v>162</v>
      </c>
      <c r="C73" t="s">
        <v>15</v>
      </c>
      <c r="D73" t="s">
        <v>113</v>
      </c>
      <c r="E73" t="s">
        <v>69</v>
      </c>
      <c r="F73" t="s">
        <v>136</v>
      </c>
      <c r="G73" t="s">
        <v>102</v>
      </c>
      <c r="H73">
        <v>4</v>
      </c>
      <c r="I73" t="s">
        <v>136</v>
      </c>
      <c r="J73" t="s">
        <v>112</v>
      </c>
      <c r="K73">
        <v>4</v>
      </c>
      <c r="L73">
        <f t="shared" si="2"/>
        <v>0</v>
      </c>
      <c r="M73" t="s">
        <v>167</v>
      </c>
      <c r="N73" t="s">
        <v>168</v>
      </c>
    </row>
    <row r="74" spans="1:14">
      <c r="A74">
        <v>73</v>
      </c>
      <c r="B74" t="s">
        <v>169</v>
      </c>
      <c r="C74" t="s">
        <v>170</v>
      </c>
      <c r="D74" t="s">
        <v>17</v>
      </c>
      <c r="E74" t="s">
        <v>31</v>
      </c>
      <c r="F74" t="s">
        <v>141</v>
      </c>
      <c r="G74" t="s">
        <v>24</v>
      </c>
      <c r="H74">
        <v>4</v>
      </c>
      <c r="I74" t="s">
        <v>141</v>
      </c>
      <c r="J74" t="s">
        <v>48</v>
      </c>
      <c r="K74">
        <v>4</v>
      </c>
      <c r="L74">
        <f t="shared" si="2"/>
        <v>0</v>
      </c>
      <c r="M74" t="s">
        <v>171</v>
      </c>
      <c r="N74" t="s">
        <v>172</v>
      </c>
    </row>
    <row r="75" spans="1:14">
      <c r="A75">
        <v>74</v>
      </c>
      <c r="B75" t="s">
        <v>173</v>
      </c>
      <c r="C75" t="s">
        <v>170</v>
      </c>
      <c r="D75" t="s">
        <v>38</v>
      </c>
      <c r="E75" t="s">
        <v>37</v>
      </c>
      <c r="F75" t="s">
        <v>148</v>
      </c>
      <c r="G75" t="s">
        <v>60</v>
      </c>
      <c r="H75">
        <v>4</v>
      </c>
      <c r="I75" t="s">
        <v>148</v>
      </c>
      <c r="J75" t="s">
        <v>46</v>
      </c>
      <c r="K75">
        <v>4</v>
      </c>
      <c r="L75">
        <f t="shared" si="2"/>
        <v>0</v>
      </c>
      <c r="M75" t="s">
        <v>174</v>
      </c>
      <c r="N75" t="s">
        <v>175</v>
      </c>
    </row>
    <row r="76" spans="1:14">
      <c r="A76">
        <v>75</v>
      </c>
      <c r="B76" t="s">
        <v>173</v>
      </c>
      <c r="C76" t="s">
        <v>170</v>
      </c>
      <c r="D76" t="s">
        <v>66</v>
      </c>
      <c r="E76" t="s">
        <v>52</v>
      </c>
      <c r="F76" t="s">
        <v>148</v>
      </c>
      <c r="G76" t="s">
        <v>75</v>
      </c>
      <c r="H76">
        <v>4</v>
      </c>
      <c r="I76" t="s">
        <v>141</v>
      </c>
      <c r="J76" t="s">
        <v>42</v>
      </c>
      <c r="K76">
        <v>5</v>
      </c>
      <c r="L76">
        <f t="shared" si="2"/>
        <v>-1</v>
      </c>
      <c r="M76" t="s">
        <v>176</v>
      </c>
      <c r="N76" t="s">
        <v>177</v>
      </c>
    </row>
    <row r="77" spans="1:14">
      <c r="A77">
        <v>76</v>
      </c>
      <c r="B77" t="s">
        <v>173</v>
      </c>
      <c r="C77" t="s">
        <v>170</v>
      </c>
      <c r="D77" t="s">
        <v>51</v>
      </c>
      <c r="E77" t="s">
        <v>67</v>
      </c>
      <c r="F77" t="s">
        <v>141</v>
      </c>
      <c r="G77" t="s">
        <v>43</v>
      </c>
      <c r="H77">
        <v>5</v>
      </c>
      <c r="I77" t="s">
        <v>148</v>
      </c>
      <c r="J77" t="s">
        <v>74</v>
      </c>
      <c r="K77">
        <v>4</v>
      </c>
      <c r="L77">
        <f t="shared" si="2"/>
        <v>1</v>
      </c>
      <c r="M77" t="s">
        <v>178</v>
      </c>
      <c r="N77" t="s">
        <v>179</v>
      </c>
    </row>
    <row r="78" spans="1:14">
      <c r="A78">
        <v>77</v>
      </c>
      <c r="B78" t="s">
        <v>180</v>
      </c>
      <c r="C78" t="s">
        <v>170</v>
      </c>
      <c r="D78" t="s">
        <v>61</v>
      </c>
      <c r="E78" t="s">
        <v>74</v>
      </c>
      <c r="F78" t="s">
        <v>155</v>
      </c>
      <c r="G78" t="s">
        <v>55</v>
      </c>
      <c r="H78">
        <v>4</v>
      </c>
      <c r="I78" t="s">
        <v>148</v>
      </c>
      <c r="J78" t="s">
        <v>67</v>
      </c>
      <c r="K78">
        <v>5</v>
      </c>
      <c r="L78">
        <f t="shared" si="2"/>
        <v>-1</v>
      </c>
      <c r="M78" t="s">
        <v>181</v>
      </c>
      <c r="N78" t="s">
        <v>179</v>
      </c>
    </row>
    <row r="79" spans="1:14">
      <c r="A79">
        <v>78</v>
      </c>
      <c r="B79" t="s">
        <v>180</v>
      </c>
      <c r="C79" t="s">
        <v>170</v>
      </c>
      <c r="D79" t="s">
        <v>59</v>
      </c>
      <c r="E79" t="s">
        <v>55</v>
      </c>
      <c r="F79" t="s">
        <v>148</v>
      </c>
      <c r="G79" t="s">
        <v>63</v>
      </c>
      <c r="H79">
        <v>5</v>
      </c>
      <c r="I79" t="s">
        <v>155</v>
      </c>
      <c r="J79" t="s">
        <v>61</v>
      </c>
      <c r="K79">
        <v>4</v>
      </c>
      <c r="L79">
        <f t="shared" si="2"/>
        <v>1</v>
      </c>
      <c r="M79" t="s">
        <v>182</v>
      </c>
      <c r="N79" t="s">
        <v>181</v>
      </c>
    </row>
    <row r="80" spans="1:14">
      <c r="A80">
        <v>79</v>
      </c>
      <c r="B80" t="s">
        <v>180</v>
      </c>
      <c r="C80" t="s">
        <v>170</v>
      </c>
      <c r="D80" t="s">
        <v>16</v>
      </c>
      <c r="E80" t="s">
        <v>60</v>
      </c>
      <c r="F80" t="s">
        <v>141</v>
      </c>
      <c r="G80" t="s">
        <v>25</v>
      </c>
      <c r="H80">
        <v>6</v>
      </c>
      <c r="I80" t="s">
        <v>148</v>
      </c>
      <c r="J80" t="s">
        <v>38</v>
      </c>
      <c r="K80">
        <v>5</v>
      </c>
      <c r="L80">
        <f t="shared" si="2"/>
        <v>1</v>
      </c>
      <c r="M80" t="s">
        <v>183</v>
      </c>
      <c r="N80" t="s">
        <v>174</v>
      </c>
    </row>
    <row r="81" spans="1:14">
      <c r="A81">
        <v>80</v>
      </c>
      <c r="B81" t="s">
        <v>184</v>
      </c>
      <c r="C81" t="s">
        <v>170</v>
      </c>
      <c r="D81" t="s">
        <v>92</v>
      </c>
      <c r="E81" t="s">
        <v>113</v>
      </c>
      <c r="F81" t="s">
        <v>162</v>
      </c>
      <c r="G81" t="s">
        <v>35</v>
      </c>
      <c r="H81">
        <v>4</v>
      </c>
      <c r="I81" t="s">
        <v>162</v>
      </c>
      <c r="J81" t="s">
        <v>69</v>
      </c>
      <c r="K81">
        <v>4</v>
      </c>
      <c r="L81">
        <f t="shared" si="2"/>
        <v>0</v>
      </c>
      <c r="M81" t="s">
        <v>185</v>
      </c>
      <c r="N81" t="s">
        <v>186</v>
      </c>
    </row>
    <row r="82" spans="1:14">
      <c r="A82">
        <v>81</v>
      </c>
      <c r="B82" t="s">
        <v>184</v>
      </c>
      <c r="C82" t="s">
        <v>170</v>
      </c>
      <c r="D82" t="s">
        <v>36</v>
      </c>
      <c r="E82" t="s">
        <v>32</v>
      </c>
      <c r="F82" t="s">
        <v>148</v>
      </c>
      <c r="G82" t="s">
        <v>47</v>
      </c>
      <c r="H82">
        <v>6</v>
      </c>
      <c r="I82" t="s">
        <v>141</v>
      </c>
      <c r="J82" t="s">
        <v>56</v>
      </c>
      <c r="K82">
        <v>7</v>
      </c>
      <c r="L82">
        <f t="shared" si="2"/>
        <v>-1</v>
      </c>
      <c r="M82" t="s">
        <v>187</v>
      </c>
      <c r="N82" t="s">
        <v>188</v>
      </c>
    </row>
    <row r="83" spans="1:14">
      <c r="A83">
        <v>82</v>
      </c>
      <c r="B83" t="s">
        <v>184</v>
      </c>
      <c r="C83" t="s">
        <v>170</v>
      </c>
      <c r="D83" t="s">
        <v>77</v>
      </c>
      <c r="E83" t="s">
        <v>82</v>
      </c>
      <c r="F83" t="s">
        <v>155</v>
      </c>
      <c r="G83" t="s">
        <v>90</v>
      </c>
      <c r="H83">
        <v>5</v>
      </c>
      <c r="I83" t="s">
        <v>155</v>
      </c>
      <c r="J83" t="s">
        <v>96</v>
      </c>
      <c r="K83">
        <v>5</v>
      </c>
      <c r="L83">
        <f t="shared" si="2"/>
        <v>0</v>
      </c>
      <c r="M83" t="s">
        <v>189</v>
      </c>
      <c r="N83" t="s">
        <v>190</v>
      </c>
    </row>
    <row r="84" spans="1:14">
      <c r="A84">
        <v>83</v>
      </c>
      <c r="B84" t="s">
        <v>191</v>
      </c>
      <c r="C84" t="s">
        <v>170</v>
      </c>
      <c r="D84" t="s">
        <v>112</v>
      </c>
      <c r="E84" t="s">
        <v>109</v>
      </c>
      <c r="F84" t="s">
        <v>162</v>
      </c>
      <c r="G84" t="s">
        <v>102</v>
      </c>
      <c r="H84">
        <v>5</v>
      </c>
      <c r="I84" t="s">
        <v>162</v>
      </c>
      <c r="J84" t="s">
        <v>104</v>
      </c>
      <c r="K84">
        <v>5</v>
      </c>
      <c r="L84">
        <f t="shared" si="2"/>
        <v>0</v>
      </c>
      <c r="M84" t="s">
        <v>192</v>
      </c>
      <c r="N84" t="s">
        <v>193</v>
      </c>
    </row>
    <row r="85" spans="1:14">
      <c r="A85">
        <v>84</v>
      </c>
      <c r="B85" t="s">
        <v>191</v>
      </c>
      <c r="C85" t="s">
        <v>170</v>
      </c>
      <c r="D85" t="s">
        <v>86</v>
      </c>
      <c r="E85" t="s">
        <v>99</v>
      </c>
      <c r="F85" t="s">
        <v>155</v>
      </c>
      <c r="G85" t="s">
        <v>80</v>
      </c>
      <c r="H85">
        <v>6</v>
      </c>
      <c r="I85" t="s">
        <v>162</v>
      </c>
      <c r="J85" t="s">
        <v>84</v>
      </c>
      <c r="K85">
        <v>5</v>
      </c>
      <c r="L85">
        <f t="shared" si="2"/>
        <v>1</v>
      </c>
      <c r="M85" t="s">
        <v>194</v>
      </c>
      <c r="N85" t="s">
        <v>195</v>
      </c>
    </row>
    <row r="86" spans="1:14">
      <c r="A86">
        <v>85</v>
      </c>
      <c r="B86" t="s">
        <v>191</v>
      </c>
      <c r="C86" t="s">
        <v>170</v>
      </c>
      <c r="D86" t="s">
        <v>48</v>
      </c>
      <c r="E86" t="s">
        <v>84</v>
      </c>
      <c r="F86" t="s">
        <v>141</v>
      </c>
      <c r="G86" t="s">
        <v>31</v>
      </c>
      <c r="H86">
        <v>8</v>
      </c>
      <c r="I86" t="s">
        <v>162</v>
      </c>
      <c r="J86" t="s">
        <v>99</v>
      </c>
      <c r="K86">
        <v>5</v>
      </c>
      <c r="L86">
        <f t="shared" si="2"/>
        <v>3</v>
      </c>
      <c r="M86" t="s">
        <v>172</v>
      </c>
      <c r="N86" t="s">
        <v>195</v>
      </c>
    </row>
    <row r="87" spans="1:14">
      <c r="A87">
        <v>86</v>
      </c>
      <c r="B87" t="s">
        <v>196</v>
      </c>
      <c r="C87" t="s">
        <v>170</v>
      </c>
      <c r="D87" t="s">
        <v>97</v>
      </c>
      <c r="E87" t="s">
        <v>87</v>
      </c>
      <c r="F87" t="s">
        <v>162</v>
      </c>
      <c r="G87" t="s">
        <v>100</v>
      </c>
      <c r="H87">
        <v>6</v>
      </c>
      <c r="I87" t="s">
        <v>155</v>
      </c>
      <c r="J87" t="s">
        <v>79</v>
      </c>
      <c r="K87">
        <v>7</v>
      </c>
      <c r="L87">
        <f t="shared" si="2"/>
        <v>-1</v>
      </c>
      <c r="M87" t="s">
        <v>197</v>
      </c>
      <c r="N87" t="s">
        <v>198</v>
      </c>
    </row>
    <row r="88" spans="1:14">
      <c r="A88">
        <v>87</v>
      </c>
      <c r="B88" t="s">
        <v>196</v>
      </c>
      <c r="C88" t="s">
        <v>170</v>
      </c>
      <c r="D88" t="s">
        <v>102</v>
      </c>
      <c r="E88" t="s">
        <v>104</v>
      </c>
      <c r="F88" t="s">
        <v>162</v>
      </c>
      <c r="G88" t="s">
        <v>112</v>
      </c>
      <c r="H88">
        <v>6</v>
      </c>
      <c r="I88" t="s">
        <v>162</v>
      </c>
      <c r="J88" t="s">
        <v>109</v>
      </c>
      <c r="K88">
        <v>6</v>
      </c>
      <c r="L88">
        <f t="shared" si="2"/>
        <v>0</v>
      </c>
      <c r="M88" t="s">
        <v>192</v>
      </c>
      <c r="N88" t="s">
        <v>193</v>
      </c>
    </row>
    <row r="89" spans="1:14">
      <c r="A89">
        <v>88</v>
      </c>
      <c r="B89" t="s">
        <v>196</v>
      </c>
      <c r="C89" t="s">
        <v>170</v>
      </c>
      <c r="D89" t="s">
        <v>46</v>
      </c>
      <c r="E89" t="s">
        <v>53</v>
      </c>
      <c r="F89" t="s">
        <v>148</v>
      </c>
      <c r="G89" t="s">
        <v>37</v>
      </c>
      <c r="H89">
        <v>8</v>
      </c>
      <c r="I89" t="s">
        <v>155</v>
      </c>
      <c r="J89" t="s">
        <v>89</v>
      </c>
      <c r="K89">
        <v>7</v>
      </c>
      <c r="L89">
        <f t="shared" si="2"/>
        <v>1</v>
      </c>
      <c r="M89" t="s">
        <v>175</v>
      </c>
      <c r="N89" t="s">
        <v>199</v>
      </c>
    </row>
    <row r="90" spans="1:14">
      <c r="A90">
        <v>89</v>
      </c>
      <c r="B90" t="s">
        <v>200</v>
      </c>
      <c r="C90" t="s">
        <v>201</v>
      </c>
      <c r="D90" t="s">
        <v>37</v>
      </c>
      <c r="E90" t="s">
        <v>61</v>
      </c>
      <c r="F90" t="s">
        <v>173</v>
      </c>
      <c r="G90" t="s">
        <v>38</v>
      </c>
      <c r="H90">
        <v>5</v>
      </c>
      <c r="I90" t="s">
        <v>180</v>
      </c>
      <c r="J90" t="s">
        <v>74</v>
      </c>
      <c r="K90">
        <v>4</v>
      </c>
      <c r="L90">
        <f t="shared" si="2"/>
        <v>1</v>
      </c>
      <c r="M90" t="s">
        <v>202</v>
      </c>
      <c r="N90" t="s">
        <v>203</v>
      </c>
    </row>
    <row r="91" spans="1:14">
      <c r="A91">
        <v>90</v>
      </c>
      <c r="B91" t="s">
        <v>200</v>
      </c>
      <c r="C91" t="s">
        <v>201</v>
      </c>
      <c r="D91" t="s">
        <v>31</v>
      </c>
      <c r="E91" t="s">
        <v>52</v>
      </c>
      <c r="F91" t="s">
        <v>169</v>
      </c>
      <c r="G91" t="s">
        <v>17</v>
      </c>
      <c r="H91">
        <v>6</v>
      </c>
      <c r="I91" t="s">
        <v>173</v>
      </c>
      <c r="J91" t="s">
        <v>66</v>
      </c>
      <c r="K91">
        <v>5</v>
      </c>
      <c r="L91">
        <f t="shared" si="2"/>
        <v>1</v>
      </c>
      <c r="M91" t="s">
        <v>204</v>
      </c>
      <c r="N91" t="s">
        <v>205</v>
      </c>
    </row>
    <row r="92" spans="1:14">
      <c r="A92">
        <v>91</v>
      </c>
      <c r="B92" t="s">
        <v>206</v>
      </c>
      <c r="C92" t="s">
        <v>201</v>
      </c>
      <c r="D92" t="s">
        <v>51</v>
      </c>
      <c r="E92" t="s">
        <v>55</v>
      </c>
      <c r="F92" t="s">
        <v>173</v>
      </c>
      <c r="G92" t="s">
        <v>67</v>
      </c>
      <c r="H92">
        <v>6</v>
      </c>
      <c r="I92" t="s">
        <v>180</v>
      </c>
      <c r="J92" t="s">
        <v>59</v>
      </c>
      <c r="K92">
        <v>5</v>
      </c>
      <c r="L92">
        <f t="shared" si="2"/>
        <v>1</v>
      </c>
      <c r="M92" t="s">
        <v>207</v>
      </c>
      <c r="N92" t="s">
        <v>208</v>
      </c>
    </row>
    <row r="93" spans="1:14">
      <c r="A93">
        <v>92</v>
      </c>
      <c r="B93" t="s">
        <v>206</v>
      </c>
      <c r="C93" t="s">
        <v>201</v>
      </c>
      <c r="D93" t="s">
        <v>16</v>
      </c>
      <c r="E93" t="s">
        <v>92</v>
      </c>
      <c r="F93" t="s">
        <v>180</v>
      </c>
      <c r="G93" t="s">
        <v>60</v>
      </c>
      <c r="H93">
        <v>5</v>
      </c>
      <c r="I93" t="s">
        <v>184</v>
      </c>
      <c r="J93" t="s">
        <v>113</v>
      </c>
      <c r="K93">
        <v>4</v>
      </c>
      <c r="L93">
        <f t="shared" si="2"/>
        <v>1</v>
      </c>
      <c r="M93" t="s">
        <v>209</v>
      </c>
      <c r="N93" t="s">
        <v>210</v>
      </c>
    </row>
    <row r="94" spans="1:14">
      <c r="A94">
        <v>93</v>
      </c>
      <c r="B94" t="s">
        <v>211</v>
      </c>
      <c r="C94" t="s">
        <v>201</v>
      </c>
      <c r="D94" t="s">
        <v>112</v>
      </c>
      <c r="E94" t="s">
        <v>86</v>
      </c>
      <c r="F94" t="s">
        <v>191</v>
      </c>
      <c r="G94" t="s">
        <v>109</v>
      </c>
      <c r="H94">
        <v>4</v>
      </c>
      <c r="I94" t="s">
        <v>191</v>
      </c>
      <c r="J94" t="s">
        <v>99</v>
      </c>
      <c r="K94">
        <v>4</v>
      </c>
      <c r="L94">
        <f t="shared" si="2"/>
        <v>0</v>
      </c>
      <c r="M94" t="s">
        <v>212</v>
      </c>
      <c r="N94" t="s">
        <v>213</v>
      </c>
    </row>
    <row r="95" spans="1:14">
      <c r="A95">
        <v>94</v>
      </c>
      <c r="B95" t="s">
        <v>211</v>
      </c>
      <c r="C95" t="s">
        <v>201</v>
      </c>
      <c r="D95" t="s">
        <v>36</v>
      </c>
      <c r="E95" t="s">
        <v>77</v>
      </c>
      <c r="F95" t="s">
        <v>184</v>
      </c>
      <c r="G95" t="s">
        <v>32</v>
      </c>
      <c r="H95">
        <v>5</v>
      </c>
      <c r="I95" t="s">
        <v>184</v>
      </c>
      <c r="J95" t="s">
        <v>82</v>
      </c>
      <c r="K95">
        <v>5</v>
      </c>
      <c r="L95">
        <f t="shared" si="2"/>
        <v>0</v>
      </c>
      <c r="M95" t="s">
        <v>214</v>
      </c>
      <c r="N95" t="s">
        <v>215</v>
      </c>
    </row>
    <row r="96" spans="1:14">
      <c r="A96">
        <v>95</v>
      </c>
      <c r="B96" t="s">
        <v>216</v>
      </c>
      <c r="C96" t="s">
        <v>201</v>
      </c>
      <c r="D96" t="s">
        <v>97</v>
      </c>
      <c r="E96" t="s">
        <v>53</v>
      </c>
      <c r="F96" t="s">
        <v>196</v>
      </c>
      <c r="G96" t="s">
        <v>87</v>
      </c>
      <c r="H96">
        <v>4</v>
      </c>
      <c r="I96" t="s">
        <v>196</v>
      </c>
      <c r="J96" t="s">
        <v>46</v>
      </c>
      <c r="K96">
        <v>4</v>
      </c>
      <c r="L96">
        <f t="shared" si="2"/>
        <v>0</v>
      </c>
      <c r="M96" t="s">
        <v>217</v>
      </c>
      <c r="N96" t="s">
        <v>218</v>
      </c>
    </row>
    <row r="97" spans="1:14">
      <c r="A97">
        <v>96</v>
      </c>
      <c r="B97" t="s">
        <v>216</v>
      </c>
      <c r="C97" t="s">
        <v>201</v>
      </c>
      <c r="D97" t="s">
        <v>48</v>
      </c>
      <c r="E97" t="s">
        <v>102</v>
      </c>
      <c r="F97" t="s">
        <v>191</v>
      </c>
      <c r="G97" t="s">
        <v>84</v>
      </c>
      <c r="H97">
        <v>5</v>
      </c>
      <c r="I97" t="s">
        <v>196</v>
      </c>
      <c r="J97" t="s">
        <v>104</v>
      </c>
      <c r="K97">
        <v>4</v>
      </c>
      <c r="L97">
        <f t="shared" si="2"/>
        <v>1</v>
      </c>
      <c r="M97" t="s">
        <v>219</v>
      </c>
      <c r="N97" t="s">
        <v>220</v>
      </c>
    </row>
    <row r="98" spans="1:14">
      <c r="A98">
        <v>97</v>
      </c>
      <c r="B98" t="s">
        <v>221</v>
      </c>
      <c r="C98" t="s">
        <v>222</v>
      </c>
      <c r="D98" t="s">
        <v>61</v>
      </c>
      <c r="E98" t="s">
        <v>52</v>
      </c>
      <c r="F98" t="s">
        <v>200</v>
      </c>
      <c r="G98" t="s">
        <v>37</v>
      </c>
      <c r="H98">
        <v>5</v>
      </c>
      <c r="I98" t="s">
        <v>200</v>
      </c>
      <c r="J98" t="s">
        <v>31</v>
      </c>
      <c r="K98">
        <v>5</v>
      </c>
      <c r="L98">
        <f t="shared" ref="L98:L129" si="3">H98-K98</f>
        <v>0</v>
      </c>
      <c r="M98" t="s">
        <v>223</v>
      </c>
      <c r="N98" t="s">
        <v>224</v>
      </c>
    </row>
    <row r="99" spans="1:14">
      <c r="A99">
        <v>98</v>
      </c>
      <c r="B99" t="s">
        <v>225</v>
      </c>
      <c r="C99" t="s">
        <v>222</v>
      </c>
      <c r="D99" t="s">
        <v>86</v>
      </c>
      <c r="E99" t="s">
        <v>77</v>
      </c>
      <c r="F99" t="s">
        <v>211</v>
      </c>
      <c r="G99" t="s">
        <v>112</v>
      </c>
      <c r="H99">
        <v>4</v>
      </c>
      <c r="I99" t="s">
        <v>211</v>
      </c>
      <c r="J99" t="s">
        <v>36</v>
      </c>
      <c r="K99">
        <v>4</v>
      </c>
      <c r="L99">
        <f t="shared" si="3"/>
        <v>0</v>
      </c>
      <c r="M99" t="s">
        <v>226</v>
      </c>
      <c r="N99" t="s">
        <v>227</v>
      </c>
    </row>
    <row r="100" spans="1:14">
      <c r="A100">
        <v>99</v>
      </c>
      <c r="B100" t="s">
        <v>228</v>
      </c>
      <c r="C100" t="s">
        <v>222</v>
      </c>
      <c r="D100" t="s">
        <v>55</v>
      </c>
      <c r="E100" t="s">
        <v>92</v>
      </c>
      <c r="F100" t="s">
        <v>206</v>
      </c>
      <c r="G100" t="s">
        <v>51</v>
      </c>
      <c r="H100">
        <v>6</v>
      </c>
      <c r="I100" t="s">
        <v>206</v>
      </c>
      <c r="J100" t="s">
        <v>16</v>
      </c>
      <c r="K100">
        <v>6</v>
      </c>
      <c r="L100">
        <f t="shared" si="3"/>
        <v>0</v>
      </c>
      <c r="M100" t="s">
        <v>229</v>
      </c>
      <c r="N100" t="s">
        <v>230</v>
      </c>
    </row>
    <row r="101" spans="1:14">
      <c r="A101">
        <v>100</v>
      </c>
      <c r="B101" t="s">
        <v>228</v>
      </c>
      <c r="C101" t="s">
        <v>222</v>
      </c>
      <c r="D101" t="s">
        <v>97</v>
      </c>
      <c r="E101" t="s">
        <v>48</v>
      </c>
      <c r="F101" t="s">
        <v>216</v>
      </c>
      <c r="G101" t="s">
        <v>53</v>
      </c>
      <c r="H101">
        <v>4</v>
      </c>
      <c r="I101" t="s">
        <v>216</v>
      </c>
      <c r="J101" t="s">
        <v>102</v>
      </c>
      <c r="K101">
        <v>4</v>
      </c>
      <c r="L101">
        <f t="shared" si="3"/>
        <v>0</v>
      </c>
      <c r="M101" t="s">
        <v>231</v>
      </c>
      <c r="N101" t="s">
        <v>232</v>
      </c>
    </row>
    <row r="102" spans="1:14">
      <c r="A102">
        <v>101</v>
      </c>
      <c r="B102" t="s">
        <v>233</v>
      </c>
      <c r="C102" t="s">
        <v>234</v>
      </c>
      <c r="D102" t="s">
        <v>61</v>
      </c>
      <c r="E102" t="s">
        <v>86</v>
      </c>
      <c r="F102" t="s">
        <v>221</v>
      </c>
      <c r="G102" t="s">
        <v>52</v>
      </c>
      <c r="H102">
        <v>5</v>
      </c>
      <c r="I102" t="s">
        <v>225</v>
      </c>
      <c r="J102" t="s">
        <v>77</v>
      </c>
      <c r="K102">
        <v>4</v>
      </c>
      <c r="L102">
        <f t="shared" si="3"/>
        <v>1</v>
      </c>
      <c r="M102" t="s">
        <v>235</v>
      </c>
      <c r="N102" t="s">
        <v>236</v>
      </c>
    </row>
    <row r="103" spans="1:14">
      <c r="A103">
        <v>102</v>
      </c>
      <c r="B103" t="s">
        <v>237</v>
      </c>
      <c r="C103" t="s">
        <v>234</v>
      </c>
      <c r="D103" t="s">
        <v>92</v>
      </c>
      <c r="E103" t="s">
        <v>97</v>
      </c>
      <c r="F103" t="s">
        <v>228</v>
      </c>
      <c r="G103" t="s">
        <v>55</v>
      </c>
      <c r="H103">
        <v>4</v>
      </c>
      <c r="I103" t="s">
        <v>228</v>
      </c>
      <c r="J103" t="s">
        <v>48</v>
      </c>
      <c r="K103">
        <v>4</v>
      </c>
      <c r="L103">
        <f t="shared" si="3"/>
        <v>0</v>
      </c>
      <c r="M103" t="s">
        <v>238</v>
      </c>
      <c r="N103" t="s">
        <v>239</v>
      </c>
    </row>
    <row r="104" spans="1:14">
      <c r="A104">
        <v>103</v>
      </c>
      <c r="B104" t="s">
        <v>240</v>
      </c>
      <c r="C104" t="s">
        <v>241</v>
      </c>
      <c r="D104" t="s">
        <v>61</v>
      </c>
      <c r="E104" t="s">
        <v>92</v>
      </c>
      <c r="F104" t="s">
        <v>233</v>
      </c>
      <c r="G104" t="s">
        <v>86</v>
      </c>
      <c r="H104">
        <v>4</v>
      </c>
      <c r="I104" t="s">
        <v>237</v>
      </c>
      <c r="J104" t="s">
        <v>97</v>
      </c>
      <c r="K104">
        <v>3</v>
      </c>
      <c r="L104">
        <f t="shared" si="3"/>
        <v>1</v>
      </c>
      <c r="M104" t="s">
        <v>242</v>
      </c>
      <c r="N104" t="s">
        <v>243</v>
      </c>
    </row>
    <row r="105" spans="1:14">
      <c r="A105">
        <v>104</v>
      </c>
      <c r="B105" t="s">
        <v>244</v>
      </c>
      <c r="C105" t="s">
        <v>245</v>
      </c>
      <c r="D105" t="s">
        <v>86</v>
      </c>
      <c r="E105" t="s">
        <v>97</v>
      </c>
      <c r="F105" t="s">
        <v>233</v>
      </c>
      <c r="G105" t="s">
        <v>61</v>
      </c>
      <c r="H105">
        <v>5</v>
      </c>
      <c r="I105" t="s">
        <v>237</v>
      </c>
      <c r="J105" t="s">
        <v>92</v>
      </c>
      <c r="K105">
        <v>4</v>
      </c>
      <c r="L105">
        <f t="shared" si="3"/>
        <v>1</v>
      </c>
      <c r="M105" t="s">
        <v>242</v>
      </c>
      <c r="N105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8" customWidth="1"/>
  </cols>
  <sheetData>
    <row r="1" spans="1:2" ht="26" customHeight="1">
      <c r="A1" s="1" t="s">
        <v>0</v>
      </c>
      <c r="B1" s="1" t="s">
        <v>246</v>
      </c>
    </row>
    <row r="2" spans="1:2">
      <c r="A2">
        <v>1</v>
      </c>
      <c r="B2">
        <f>X7_Calculations!L2</f>
        <v>2</v>
      </c>
    </row>
    <row r="3" spans="1:2">
      <c r="A3">
        <v>2</v>
      </c>
      <c r="B3">
        <f>X7_Calculations!L3</f>
        <v>1</v>
      </c>
    </row>
    <row r="4" spans="1:2">
      <c r="A4">
        <v>3</v>
      </c>
      <c r="B4">
        <f>X7_Calculations!L4</f>
        <v>1</v>
      </c>
    </row>
    <row r="5" spans="1:2">
      <c r="A5">
        <v>4</v>
      </c>
      <c r="B5">
        <f>X7_Calculations!L5</f>
        <v>-1</v>
      </c>
    </row>
    <row r="6" spans="1:2">
      <c r="A6">
        <v>5</v>
      </c>
      <c r="B6">
        <f>X7_Calculations!L6</f>
        <v>1</v>
      </c>
    </row>
    <row r="7" spans="1:2">
      <c r="A7">
        <v>6</v>
      </c>
      <c r="B7">
        <f>X7_Calculations!L7</f>
        <v>0</v>
      </c>
    </row>
    <row r="8" spans="1:2">
      <c r="A8">
        <v>7</v>
      </c>
      <c r="B8">
        <f>X7_Calculations!L8</f>
        <v>1</v>
      </c>
    </row>
    <row r="9" spans="1:2">
      <c r="A9">
        <v>8</v>
      </c>
      <c r="B9">
        <f>X7_Calculations!L9</f>
        <v>0</v>
      </c>
    </row>
    <row r="10" spans="1:2">
      <c r="A10">
        <v>9</v>
      </c>
      <c r="B10">
        <f>X7_Calculations!L10</f>
        <v>3</v>
      </c>
    </row>
    <row r="11" spans="1:2">
      <c r="A11">
        <v>10</v>
      </c>
      <c r="B11">
        <f>X7_Calculations!L11</f>
        <v>0</v>
      </c>
    </row>
    <row r="12" spans="1:2">
      <c r="A12">
        <v>11</v>
      </c>
      <c r="B12">
        <f>X7_Calculations!L12</f>
        <v>-8</v>
      </c>
    </row>
    <row r="13" spans="1:2">
      <c r="A13">
        <v>12</v>
      </c>
      <c r="B13">
        <f>X7_Calculations!L13</f>
        <v>2</v>
      </c>
    </row>
    <row r="14" spans="1:2">
      <c r="A14">
        <v>13</v>
      </c>
      <c r="B14">
        <f>X7_Calculations!L14</f>
        <v>-70</v>
      </c>
    </row>
    <row r="15" spans="1:2">
      <c r="A15">
        <v>14</v>
      </c>
      <c r="B15">
        <f>X7_Calculations!L15</f>
        <v>-2</v>
      </c>
    </row>
    <row r="16" spans="1:2">
      <c r="A16">
        <v>15</v>
      </c>
      <c r="B16">
        <f>X7_Calculations!L16</f>
        <v>2</v>
      </c>
    </row>
    <row r="17" spans="1:2">
      <c r="A17">
        <v>16</v>
      </c>
      <c r="B17">
        <f>X7_Calculations!L17</f>
        <v>0</v>
      </c>
    </row>
    <row r="18" spans="1:2">
      <c r="A18">
        <v>17</v>
      </c>
      <c r="B18">
        <f>X7_Calculations!L18</f>
        <v>1</v>
      </c>
    </row>
    <row r="19" spans="1:2">
      <c r="A19">
        <v>18</v>
      </c>
      <c r="B19">
        <f>X7_Calculations!L19</f>
        <v>-2</v>
      </c>
    </row>
    <row r="20" spans="1:2">
      <c r="A20">
        <v>19</v>
      </c>
      <c r="B20">
        <f>X7_Calculations!L20</f>
        <v>1</v>
      </c>
    </row>
    <row r="21" spans="1:2">
      <c r="A21">
        <v>20</v>
      </c>
      <c r="B21">
        <f>X7_Calculations!L21</f>
        <v>6</v>
      </c>
    </row>
    <row r="22" spans="1:2">
      <c r="A22">
        <v>21</v>
      </c>
      <c r="B22">
        <f>X7_Calculations!L22</f>
        <v>4</v>
      </c>
    </row>
    <row r="23" spans="1:2">
      <c r="A23">
        <v>22</v>
      </c>
      <c r="B23">
        <f>X7_Calculations!L23</f>
        <v>-3</v>
      </c>
    </row>
    <row r="24" spans="1:2">
      <c r="A24">
        <v>23</v>
      </c>
      <c r="B24">
        <f>X7_Calculations!L24</f>
        <v>-1</v>
      </c>
    </row>
    <row r="25" spans="1:2">
      <c r="A25">
        <v>24</v>
      </c>
      <c r="B25">
        <f>X7_Calculations!L25</f>
        <v>-1</v>
      </c>
    </row>
    <row r="26" spans="1:2">
      <c r="A26">
        <v>25</v>
      </c>
      <c r="B26">
        <f>X7_Calculations!L26</f>
        <v>0</v>
      </c>
    </row>
    <row r="27" spans="1:2">
      <c r="A27">
        <v>26</v>
      </c>
      <c r="B27">
        <f>X7_Calculations!L27</f>
        <v>-1</v>
      </c>
    </row>
    <row r="28" spans="1:2">
      <c r="A28">
        <v>27</v>
      </c>
      <c r="B28">
        <f>X7_Calculations!L28</f>
        <v>1</v>
      </c>
    </row>
    <row r="29" spans="1:2">
      <c r="A29">
        <v>28</v>
      </c>
      <c r="B29">
        <f>X7_Calculations!L29</f>
        <v>0</v>
      </c>
    </row>
    <row r="30" spans="1:2">
      <c r="A30">
        <v>29</v>
      </c>
      <c r="B30">
        <f>X7_Calculations!L30</f>
        <v>0</v>
      </c>
    </row>
    <row r="31" spans="1:2">
      <c r="A31">
        <v>30</v>
      </c>
      <c r="B31">
        <f>X7_Calculations!L31</f>
        <v>0</v>
      </c>
    </row>
    <row r="32" spans="1:2">
      <c r="A32">
        <v>31</v>
      </c>
      <c r="B32">
        <f>X7_Calculations!L32</f>
        <v>-1</v>
      </c>
    </row>
    <row r="33" spans="1:2">
      <c r="A33">
        <v>32</v>
      </c>
      <c r="B33">
        <f>X7_Calculations!L33</f>
        <v>1</v>
      </c>
    </row>
    <row r="34" spans="1:2">
      <c r="A34">
        <v>33</v>
      </c>
      <c r="B34">
        <f>X7_Calculations!L34</f>
        <v>0</v>
      </c>
    </row>
    <row r="35" spans="1:2">
      <c r="A35">
        <v>34</v>
      </c>
      <c r="B35">
        <f>X7_Calculations!L35</f>
        <v>0</v>
      </c>
    </row>
    <row r="36" spans="1:2">
      <c r="A36">
        <v>35</v>
      </c>
      <c r="B36">
        <f>X7_Calculations!L36</f>
        <v>0</v>
      </c>
    </row>
    <row r="37" spans="1:2">
      <c r="A37">
        <v>36</v>
      </c>
      <c r="B37">
        <f>X7_Calculations!L37</f>
        <v>0</v>
      </c>
    </row>
    <row r="38" spans="1:2">
      <c r="A38">
        <v>37</v>
      </c>
      <c r="B38">
        <f>X7_Calculations!L38</f>
        <v>0</v>
      </c>
    </row>
    <row r="39" spans="1:2">
      <c r="A39">
        <v>38</v>
      </c>
      <c r="B39">
        <f>X7_Calculations!L39</f>
        <v>0</v>
      </c>
    </row>
    <row r="40" spans="1:2">
      <c r="A40">
        <v>39</v>
      </c>
      <c r="B40">
        <f>X7_Calculations!L40</f>
        <v>0</v>
      </c>
    </row>
    <row r="41" spans="1:2">
      <c r="A41">
        <v>40</v>
      </c>
      <c r="B41">
        <f>X7_Calculations!L41</f>
        <v>0</v>
      </c>
    </row>
    <row r="42" spans="1:2">
      <c r="A42">
        <v>41</v>
      </c>
      <c r="B42">
        <f>X7_Calculations!L42</f>
        <v>0</v>
      </c>
    </row>
    <row r="43" spans="1:2">
      <c r="A43">
        <v>42</v>
      </c>
      <c r="B43">
        <f>X7_Calculations!L43</f>
        <v>0</v>
      </c>
    </row>
    <row r="44" spans="1:2">
      <c r="A44">
        <v>43</v>
      </c>
      <c r="B44">
        <f>X7_Calculations!L44</f>
        <v>0</v>
      </c>
    </row>
    <row r="45" spans="1:2">
      <c r="A45">
        <v>44</v>
      </c>
      <c r="B45">
        <f>X7_Calculations!L45</f>
        <v>0</v>
      </c>
    </row>
    <row r="46" spans="1:2">
      <c r="A46">
        <v>45</v>
      </c>
      <c r="B46">
        <f>X7_Calculations!L46</f>
        <v>0</v>
      </c>
    </row>
    <row r="47" spans="1:2">
      <c r="A47">
        <v>46</v>
      </c>
      <c r="B47">
        <f>X7_Calculations!L47</f>
        <v>0</v>
      </c>
    </row>
    <row r="48" spans="1:2">
      <c r="A48">
        <v>47</v>
      </c>
      <c r="B48">
        <f>X7_Calculations!L48</f>
        <v>0</v>
      </c>
    </row>
    <row r="49" spans="1:2">
      <c r="A49">
        <v>48</v>
      </c>
      <c r="B49">
        <f>X7_Calculations!L49</f>
        <v>0</v>
      </c>
    </row>
    <row r="50" spans="1:2">
      <c r="A50">
        <v>49</v>
      </c>
      <c r="B50">
        <f>X7_Calculations!L50</f>
        <v>0</v>
      </c>
    </row>
    <row r="51" spans="1:2">
      <c r="A51">
        <v>50</v>
      </c>
      <c r="B51">
        <f>X7_Calculations!L51</f>
        <v>0</v>
      </c>
    </row>
    <row r="52" spans="1:2">
      <c r="A52">
        <v>51</v>
      </c>
      <c r="B52">
        <f>X7_Calculations!L52</f>
        <v>0</v>
      </c>
    </row>
    <row r="53" spans="1:2">
      <c r="A53">
        <v>52</v>
      </c>
      <c r="B53">
        <f>X7_Calculations!L53</f>
        <v>0</v>
      </c>
    </row>
    <row r="54" spans="1:2">
      <c r="A54">
        <v>53</v>
      </c>
      <c r="B54">
        <f>X7_Calculations!L54</f>
        <v>0</v>
      </c>
    </row>
    <row r="55" spans="1:2">
      <c r="A55">
        <v>54</v>
      </c>
      <c r="B55">
        <f>X7_Calculations!L55</f>
        <v>0</v>
      </c>
    </row>
    <row r="56" spans="1:2">
      <c r="A56">
        <v>55</v>
      </c>
      <c r="B56">
        <f>X7_Calculations!L56</f>
        <v>0</v>
      </c>
    </row>
    <row r="57" spans="1:2">
      <c r="A57">
        <v>56</v>
      </c>
      <c r="B57">
        <f>X7_Calculations!L57</f>
        <v>0</v>
      </c>
    </row>
    <row r="58" spans="1:2">
      <c r="A58">
        <v>57</v>
      </c>
      <c r="B58">
        <f>X7_Calculations!L58</f>
        <v>0</v>
      </c>
    </row>
    <row r="59" spans="1:2">
      <c r="A59">
        <v>58</v>
      </c>
      <c r="B59">
        <f>X7_Calculations!L59</f>
        <v>0</v>
      </c>
    </row>
    <row r="60" spans="1:2">
      <c r="A60">
        <v>59</v>
      </c>
      <c r="B60">
        <f>X7_Calculations!L60</f>
        <v>0</v>
      </c>
    </row>
    <row r="61" spans="1:2">
      <c r="A61">
        <v>60</v>
      </c>
      <c r="B61">
        <f>X7_Calculations!L61</f>
        <v>0</v>
      </c>
    </row>
    <row r="62" spans="1:2">
      <c r="A62">
        <v>61</v>
      </c>
      <c r="B62">
        <f>X7_Calculations!L62</f>
        <v>0</v>
      </c>
    </row>
    <row r="63" spans="1:2">
      <c r="A63">
        <v>62</v>
      </c>
      <c r="B63">
        <f>X7_Calculations!L63</f>
        <v>0</v>
      </c>
    </row>
    <row r="64" spans="1:2">
      <c r="A64">
        <v>63</v>
      </c>
      <c r="B64">
        <f>X7_Calculations!L64</f>
        <v>0</v>
      </c>
    </row>
    <row r="65" spans="1:2">
      <c r="A65">
        <v>64</v>
      </c>
      <c r="B65">
        <f>X7_Calculations!L65</f>
        <v>0</v>
      </c>
    </row>
    <row r="66" spans="1:2">
      <c r="A66">
        <v>65</v>
      </c>
      <c r="B66">
        <f>X7_Calculations!L66</f>
        <v>0</v>
      </c>
    </row>
    <row r="67" spans="1:2">
      <c r="A67">
        <v>66</v>
      </c>
      <c r="B67">
        <f>X7_Calculations!L67</f>
        <v>0</v>
      </c>
    </row>
    <row r="68" spans="1:2">
      <c r="A68">
        <v>67</v>
      </c>
      <c r="B68">
        <f>X7_Calculations!L68</f>
        <v>0</v>
      </c>
    </row>
    <row r="69" spans="1:2">
      <c r="A69">
        <v>68</v>
      </c>
      <c r="B69">
        <f>X7_Calculations!L69</f>
        <v>0</v>
      </c>
    </row>
    <row r="70" spans="1:2">
      <c r="A70">
        <v>69</v>
      </c>
      <c r="B70">
        <f>X7_Calculations!L70</f>
        <v>0</v>
      </c>
    </row>
    <row r="71" spans="1:2">
      <c r="A71">
        <v>70</v>
      </c>
      <c r="B71">
        <f>X7_Calculations!L71</f>
        <v>0</v>
      </c>
    </row>
    <row r="72" spans="1:2">
      <c r="A72">
        <v>71</v>
      </c>
      <c r="B72">
        <f>X7_Calculations!L72</f>
        <v>0</v>
      </c>
    </row>
    <row r="73" spans="1:2">
      <c r="A73">
        <v>72</v>
      </c>
      <c r="B73">
        <f>X7_Calculations!L73</f>
        <v>0</v>
      </c>
    </row>
    <row r="74" spans="1:2">
      <c r="A74">
        <v>73</v>
      </c>
      <c r="B74">
        <f>X7_Calculations!L74</f>
        <v>0</v>
      </c>
    </row>
    <row r="75" spans="1:2">
      <c r="A75">
        <v>74</v>
      </c>
      <c r="B75">
        <f>X7_Calculations!L75</f>
        <v>0</v>
      </c>
    </row>
    <row r="76" spans="1:2">
      <c r="A76">
        <v>75</v>
      </c>
      <c r="B76">
        <f>X7_Calculations!L76</f>
        <v>-1</v>
      </c>
    </row>
    <row r="77" spans="1:2">
      <c r="A77">
        <v>76</v>
      </c>
      <c r="B77">
        <f>X7_Calculations!L77</f>
        <v>1</v>
      </c>
    </row>
    <row r="78" spans="1:2">
      <c r="A78">
        <v>77</v>
      </c>
      <c r="B78">
        <f>X7_Calculations!L78</f>
        <v>-1</v>
      </c>
    </row>
    <row r="79" spans="1:2">
      <c r="A79">
        <v>78</v>
      </c>
      <c r="B79">
        <f>X7_Calculations!L79</f>
        <v>1</v>
      </c>
    </row>
    <row r="80" spans="1:2">
      <c r="A80">
        <v>79</v>
      </c>
      <c r="B80">
        <f>X7_Calculations!L80</f>
        <v>1</v>
      </c>
    </row>
    <row r="81" spans="1:2">
      <c r="A81">
        <v>80</v>
      </c>
      <c r="B81">
        <f>X7_Calculations!L81</f>
        <v>0</v>
      </c>
    </row>
    <row r="82" spans="1:2">
      <c r="A82">
        <v>81</v>
      </c>
      <c r="B82">
        <f>X7_Calculations!L82</f>
        <v>-1</v>
      </c>
    </row>
    <row r="83" spans="1:2">
      <c r="A83">
        <v>82</v>
      </c>
      <c r="B83">
        <f>X7_Calculations!L83</f>
        <v>0</v>
      </c>
    </row>
    <row r="84" spans="1:2">
      <c r="A84">
        <v>83</v>
      </c>
      <c r="B84">
        <f>X7_Calculations!L84</f>
        <v>0</v>
      </c>
    </row>
    <row r="85" spans="1:2">
      <c r="A85">
        <v>84</v>
      </c>
      <c r="B85">
        <f>X7_Calculations!L85</f>
        <v>1</v>
      </c>
    </row>
    <row r="86" spans="1:2">
      <c r="A86">
        <v>85</v>
      </c>
      <c r="B86">
        <f>X7_Calculations!L86</f>
        <v>3</v>
      </c>
    </row>
    <row r="87" spans="1:2">
      <c r="A87">
        <v>86</v>
      </c>
      <c r="B87">
        <f>X7_Calculations!L87</f>
        <v>-1</v>
      </c>
    </row>
    <row r="88" spans="1:2">
      <c r="A88">
        <v>87</v>
      </c>
      <c r="B88">
        <f>X7_Calculations!L88</f>
        <v>0</v>
      </c>
    </row>
    <row r="89" spans="1:2">
      <c r="A89">
        <v>88</v>
      </c>
      <c r="B89">
        <f>X7_Calculations!L89</f>
        <v>1</v>
      </c>
    </row>
    <row r="90" spans="1:2">
      <c r="A90">
        <v>89</v>
      </c>
      <c r="B90">
        <f>X7_Calculations!L90</f>
        <v>1</v>
      </c>
    </row>
    <row r="91" spans="1:2">
      <c r="A91">
        <v>90</v>
      </c>
      <c r="B91">
        <f>X7_Calculations!L91</f>
        <v>1</v>
      </c>
    </row>
    <row r="92" spans="1:2">
      <c r="A92">
        <v>91</v>
      </c>
      <c r="B92">
        <f>X7_Calculations!L92</f>
        <v>1</v>
      </c>
    </row>
    <row r="93" spans="1:2">
      <c r="A93">
        <v>92</v>
      </c>
      <c r="B93">
        <f>X7_Calculations!L93</f>
        <v>1</v>
      </c>
    </row>
    <row r="94" spans="1:2">
      <c r="A94">
        <v>93</v>
      </c>
      <c r="B94">
        <f>X7_Calculations!L94</f>
        <v>0</v>
      </c>
    </row>
    <row r="95" spans="1:2">
      <c r="A95">
        <v>94</v>
      </c>
      <c r="B95">
        <f>X7_Calculations!L95</f>
        <v>0</v>
      </c>
    </row>
    <row r="96" spans="1:2">
      <c r="A96">
        <v>95</v>
      </c>
      <c r="B96">
        <f>X7_Calculations!L96</f>
        <v>0</v>
      </c>
    </row>
    <row r="97" spans="1:2">
      <c r="A97">
        <v>96</v>
      </c>
      <c r="B97">
        <f>X7_Calculations!L97</f>
        <v>1</v>
      </c>
    </row>
    <row r="98" spans="1:2">
      <c r="A98">
        <v>97</v>
      </c>
      <c r="B98">
        <f>X7_Calculations!L98</f>
        <v>0</v>
      </c>
    </row>
    <row r="99" spans="1:2">
      <c r="A99">
        <v>98</v>
      </c>
      <c r="B99">
        <f>X7_Calculations!L99</f>
        <v>0</v>
      </c>
    </row>
    <row r="100" spans="1:2">
      <c r="A100">
        <v>99</v>
      </c>
      <c r="B100">
        <f>X7_Calculations!L100</f>
        <v>0</v>
      </c>
    </row>
    <row r="101" spans="1:2">
      <c r="A101">
        <v>100</v>
      </c>
      <c r="B101">
        <f>X7_Calculations!L101</f>
        <v>0</v>
      </c>
    </row>
    <row r="102" spans="1:2">
      <c r="A102">
        <v>101</v>
      </c>
      <c r="B102">
        <f>X7_Calculations!L102</f>
        <v>1</v>
      </c>
    </row>
    <row r="103" spans="1:2">
      <c r="A103">
        <v>102</v>
      </c>
      <c r="B103">
        <f>X7_Calculations!L103</f>
        <v>0</v>
      </c>
    </row>
    <row r="104" spans="1:2">
      <c r="A104">
        <v>103</v>
      </c>
      <c r="B104">
        <f>X7_Calculations!L104</f>
        <v>1</v>
      </c>
    </row>
    <row r="105" spans="1:2">
      <c r="A105">
        <v>104</v>
      </c>
      <c r="B105">
        <f>X7_Calculations!L105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45" customWidth="1"/>
    <col min="2" max="2" width="55" customWidth="1"/>
  </cols>
  <sheetData>
    <row r="1" spans="1:2" ht="26" customHeight="1">
      <c r="A1" s="1" t="s">
        <v>247</v>
      </c>
      <c r="B1" s="1" t="s">
        <v>248</v>
      </c>
    </row>
    <row r="2" spans="1:2">
      <c r="A2" t="s">
        <v>249</v>
      </c>
      <c r="B2" t="s">
        <v>250</v>
      </c>
    </row>
    <row r="3" spans="1:2">
      <c r="A3" t="s">
        <v>251</v>
      </c>
      <c r="B3" t="s">
        <v>252</v>
      </c>
    </row>
    <row r="4" spans="1:2">
      <c r="A4" t="s">
        <v>253</v>
      </c>
      <c r="B4" t="s">
        <v>254</v>
      </c>
    </row>
    <row r="5" spans="1:2">
      <c r="A5" t="s">
        <v>255</v>
      </c>
      <c r="B5" t="s">
        <v>254</v>
      </c>
    </row>
    <row r="6" spans="1:2">
      <c r="A6" t="s">
        <v>256</v>
      </c>
      <c r="B6" t="s">
        <v>257</v>
      </c>
    </row>
    <row r="7" spans="1:2">
      <c r="A7" t="s">
        <v>258</v>
      </c>
      <c r="B7" t="s">
        <v>259</v>
      </c>
    </row>
    <row r="8" spans="1:2">
      <c r="A8" t="s">
        <v>260</v>
      </c>
      <c r="B8" t="s">
        <v>261</v>
      </c>
    </row>
    <row r="9" spans="1:2">
      <c r="A9" t="s">
        <v>262</v>
      </c>
      <c r="B9" t="s">
        <v>263</v>
      </c>
    </row>
    <row r="11" spans="1:2">
      <c r="A11" t="s">
        <v>264</v>
      </c>
      <c r="B11" t="s">
        <v>265</v>
      </c>
    </row>
    <row r="12" spans="1:2">
      <c r="A12" t="s">
        <v>266</v>
      </c>
      <c r="B12">
        <v>14</v>
      </c>
    </row>
    <row r="13" spans="1:2">
      <c r="A13" t="s">
        <v>267</v>
      </c>
      <c r="B13">
        <v>62</v>
      </c>
    </row>
    <row r="14" spans="1:2">
      <c r="A14" t="s">
        <v>268</v>
      </c>
      <c r="B14">
        <v>28</v>
      </c>
    </row>
    <row r="15" spans="1:2">
      <c r="A15" t="s">
        <v>269</v>
      </c>
      <c r="B15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X7_Calculations</vt:lpstr>
      <vt:lpstr>Model_Merge</vt:lpstr>
      <vt:lpstr>Validation_Summary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Enosh Basnet</cp:lastModifiedBy>
  <dcterms:modified xsi:type="dcterms:W3CDTF">2026-10-12T07:14:19Z</dcterms:modified>
</cp:coreProperties>
</file>