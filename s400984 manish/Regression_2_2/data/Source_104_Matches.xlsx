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rysh\OneDrive\Desktop\s400984 manish\Regression_2_2\data\"/>
    </mc:Choice>
  </mc:AlternateContent>
  <xr:revisionPtr revIDLastSave="0" documentId="13_ncr:1_{416E152E-88B2-4116-A365-023B03C5C69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aster_104_Matches" sheetId="1" r:id="rId1"/>
    <sheet name="Data_Rules" sheetId="3" r:id="rId2"/>
    <sheet name="X1_X2_Inputs" sheetId="4" r:id="rId3"/>
    <sheet name="X3_X5_Detail" sheetId="5" r:id="rId4"/>
    <sheet name="Last5_Evidence" sheetId="6" r:id="rId5"/>
    <sheet name="Used_Source_Matches" sheetId="7" r:id="rId6"/>
    <sheet name="X3_X5_Methodology" sheetId="8" r:id="rId7"/>
    <sheet name="X4_X6_Audit" sheetId="9" r:id="rId8"/>
    <sheet name="Merge_Notes" sheetId="10" r:id="rId9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C10" i="10"/>
  <c r="C9" i="10"/>
  <c r="C8" i="10"/>
  <c r="C7" i="10"/>
  <c r="C6" i="10"/>
  <c r="H2" i="1"/>
  <c r="H3" i="1"/>
  <c r="H4" i="1"/>
  <c r="H5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C5" i="10"/>
  <c r="G2" i="1"/>
  <c r="G3" i="1"/>
  <c r="G4" i="1"/>
  <c r="G5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C4" i="10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<sst xmlns="http://schemas.openxmlformats.org/spreadsheetml/2006/main" count="9496" uniqueCount="672">
  <si>
    <t>match_id</t>
  </si>
  <si>
    <t>match_date</t>
  </si>
  <si>
    <t>stage</t>
  </si>
  <si>
    <t>group</t>
  </si>
  <si>
    <t>team_a</t>
  </si>
  <si>
    <t>team_b</t>
  </si>
  <si>
    <t>fifa_rank_diff</t>
  </si>
  <si>
    <t>elo_rating_diff</t>
  </si>
  <si>
    <t>last5_avg_goals_scored_diff</t>
  </si>
  <si>
    <t>last5_avg_goals_conceded_diff</t>
  </si>
  <si>
    <t>last5_win_rate_diff</t>
  </si>
  <si>
    <t>last5_clean_sheet_rate_diff</t>
  </si>
  <si>
    <t>rest_days_diff</t>
  </si>
  <si>
    <t>last5_opponent_strength_diff</t>
  </si>
  <si>
    <t>team_a_goals</t>
  </si>
  <si>
    <t>team_b_goals</t>
  </si>
  <si>
    <t>result_note</t>
  </si>
  <si>
    <t>goal_difference</t>
  </si>
  <si>
    <t>Group Stage</t>
  </si>
  <si>
    <t>A</t>
  </si>
  <si>
    <t>Mexico</t>
  </si>
  <si>
    <t>South Africa</t>
  </si>
  <si>
    <t>Korea Republic</t>
  </si>
  <si>
    <t>Czechia</t>
  </si>
  <si>
    <t>B</t>
  </si>
  <si>
    <t>Canada</t>
  </si>
  <si>
    <t>Bosnia and Herzegovina</t>
  </si>
  <si>
    <t>D</t>
  </si>
  <si>
    <t>USA</t>
  </si>
  <si>
    <t>Paraguay</t>
  </si>
  <si>
    <t>C</t>
  </si>
  <si>
    <t>Haiti</t>
  </si>
  <si>
    <t>Scotland</t>
  </si>
  <si>
    <t>Australia</t>
  </si>
  <si>
    <t>Türkiye</t>
  </si>
  <si>
    <t>Brazil</t>
  </si>
  <si>
    <t>Morocco</t>
  </si>
  <si>
    <t>Qatar</t>
  </si>
  <si>
    <t>Switzerland</t>
  </si>
  <si>
    <t>E</t>
  </si>
  <si>
    <t>Côte d'Ivoire</t>
  </si>
  <si>
    <t>Ecuador</t>
  </si>
  <si>
    <t>Germany</t>
  </si>
  <si>
    <t>Curaçao</t>
  </si>
  <si>
    <t>F</t>
  </si>
  <si>
    <t>Netherlands</t>
  </si>
  <si>
    <t>Japan</t>
  </si>
  <si>
    <t>Sweden</t>
  </si>
  <si>
    <t>Tunisia</t>
  </si>
  <si>
    <t>H</t>
  </si>
  <si>
    <t>Saudi Arabia</t>
  </si>
  <si>
    <t>Uruguay</t>
  </si>
  <si>
    <t>Spain</t>
  </si>
  <si>
    <t>Cabo Verde</t>
  </si>
  <si>
    <t>G</t>
  </si>
  <si>
    <t>IR Iran</t>
  </si>
  <si>
    <t>New Zealand</t>
  </si>
  <si>
    <t>Belgium</t>
  </si>
  <si>
    <t>Egypt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</si>
  <si>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</si>
  <si>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</si>
  <si>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</si>
  <si>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</si>
  <si>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</si>
  <si>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</si>
  <si>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</si>
  <si>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</si>
  <si>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</si>
  <si>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</si>
  <si>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L</t>
  </si>
  <si>
    <t>Ghana</t>
  </si>
  <si>
    <t>Panama</t>
  </si>
  <si>
    <t>England</t>
  </si>
  <si>
    <t>Croatia</t>
  </si>
  <si>
    <t>K</t>
  </si>
  <si>
    <t>Portugal</t>
  </si>
  <si>
    <t>Congo DR</t>
  </si>
  <si>
    <t>Uzbekistan</t>
  </si>
  <si>
    <t>Colombia</t>
  </si>
  <si>
    <t>Round of 32</t>
  </si>
  <si>
    <t>PSO 3-4</t>
  </si>
  <si>
    <t>PSO 2-3</t>
  </si>
  <si>
    <t>AET</t>
  </si>
  <si>
    <t>PSO 2-4</t>
  </si>
  <si>
    <t>Round of 16</t>
  </si>
  <si>
    <t>PSO 4-3</t>
  </si>
  <si>
    <t>Quarter-finals</t>
  </si>
  <si>
    <t>Semi-finals</t>
  </si>
  <si>
    <t>Bronze Final</t>
  </si>
  <si>
    <t>Final</t>
  </si>
  <si>
    <t>Rule</t>
  </si>
  <si>
    <t>Agreed definition</t>
  </si>
  <si>
    <t>Team A / Team B</t>
  </si>
  <si>
    <t>Team A is the first-listed team in the FIFA match record; Team B is the second-listed team.</t>
  </si>
  <si>
    <t>Difference direction</t>
  </si>
  <si>
    <t>All eight explanatory variables use Team A value − Team B value.</t>
  </si>
  <si>
    <t>Previous five matches</t>
  </si>
  <si>
    <t>The five most recent senior international matches completed before kickoff of the match being predicted.</t>
  </si>
  <si>
    <t>No data leakage</t>
  </si>
  <si>
    <t>Do not use the current match or any match that occurred later.</t>
  </si>
  <si>
    <t>FIFA ranking</t>
  </si>
  <si>
    <t>Use the latest official FIFA ranking publication available before kickoff.</t>
  </si>
  <si>
    <t>Penalty shootouts</t>
  </si>
  <si>
    <t>Do not add penalty-shootout kicks to goals scored, goals conceded, or goal difference.</t>
  </si>
  <si>
    <t>Extra time</t>
  </si>
  <si>
    <t>Include goals scored during extra time in the final match score and goal difference.</t>
  </si>
  <si>
    <t>Win rate after PSO</t>
  </si>
  <si>
    <t>If a historical match is level after extra time and decided by penalties, treat it as a draw for win-rate calculation.</t>
  </si>
  <si>
    <t>Missing data</t>
  </si>
  <si>
    <t>The old xG and shots-on-target predictors were replaced. Do not substitute 0 for missing values in the eight current predictors; investigate or document missingness.</t>
  </si>
  <si>
    <t>This is an internal project identifier assigned chronologically from 1 to 104; it is not intended to represent FIFA's official match number.</t>
  </si>
  <si>
    <t>Target</t>
  </si>
  <si>
    <t>goal_difference = team_a_goals − team_b_goals.</t>
  </si>
  <si>
    <t>Rest days difference</t>
  </si>
  <si>
    <t>Days since Team A previous completed match minus days since Team B previous completed match, measured before kickoff; use a consistent date-based convention.</t>
  </si>
  <si>
    <t>Previous-five opponent strength</t>
  </si>
  <si>
    <t>Mean FIFA ranking of the previous five opponents of Team A minus that of Team B. Use the latest ranking available before each historical opponent match.</t>
  </si>
  <si>
    <t>Elo rating</t>
  </si>
  <si>
    <t>Use the most recent Elo rating available immediately before each match.</t>
  </si>
  <si>
    <t>Status interpretation</t>
  </si>
  <si>
    <t>Not Started means explanatory-variable collection has not started; it does not imply that recorded match scores are verified. Confirm match results against an authoritative match source.</t>
  </si>
  <si>
    <t>Target versus features</t>
  </si>
  <si>
    <t>Goal difference = Team A goals minus Team B goals. Goal difference and the two current-match goal columns are outcomes, not explanatory variables; exclude them from X.</t>
  </si>
  <si>
    <t>fifa_rank_a</t>
  </si>
  <si>
    <t>fifa_rank_b</t>
  </si>
  <si>
    <t>elo_a_before</t>
  </si>
  <si>
    <t>elo_b_before</t>
  </si>
  <si>
    <t>input_review_status</t>
  </si>
  <si>
    <t>Methodology and evidence</t>
  </si>
  <si>
    <t>Notes / reference</t>
  </si>
  <si>
    <t>Accepted by group</t>
  </si>
  <si>
    <t>X1 definition</t>
  </si>
  <si>
    <t>FIFA rank of Team A minus FIFA rank of Team B</t>
  </si>
  <si>
    <t>X2 definition</t>
  </si>
  <si>
    <t>Pre-match Elo of Team A minus pre-match Elo of Team B</t>
  </si>
  <si>
    <t>FIFA ranking edition</t>
  </si>
  <si>
    <t>11 June 2026 (unchanged across the tournament)</t>
  </si>
  <si>
    <t>FIFA ranking source</t>
  </si>
  <si>
    <t>https://inside.fifa.com/fifa-world-ranking/men?dateId=id13295</t>
  </si>
  <si>
    <t>Elo source</t>
  </si>
  <si>
    <t>https://www.international-football.net/tournament?compet-id=World+Cup&amp;year=2026</t>
  </si>
  <si>
    <t>Source workbooks</t>
  </si>
  <si>
    <t>Master: FIFA_Master_Dataset_X7_X8_Completed.xlsx; raw: FIFA_WC2026_104_Match_Raw_Data_with_FIFA_and_Elo.xlsx</t>
  </si>
  <si>
    <t>Name normalization</t>
  </si>
  <si>
    <t>United States in teammate file displayed as USA, matching the master</t>
  </si>
  <si>
    <t>Elo input review</t>
  </si>
  <si>
    <t>Teammate-supplied Elo inputs retained unchanged and accepted by group.</t>
  </si>
  <si>
    <t>Source verification scope</t>
  </si>
  <si>
    <t>X1/X2 calculated from supplied rankings and Elo inputs; full independent source reconciliation not performed.</t>
  </si>
  <si>
    <t>team_a_last5_goals_total</t>
  </si>
  <si>
    <t>team_a_last5_avg_goals</t>
  </si>
  <si>
    <t>team_a_last5_wins</t>
  </si>
  <si>
    <t>team_a_last5_win_rate</t>
  </si>
  <si>
    <t>team_b_last5_goals_total</t>
  </si>
  <si>
    <t>team_b_last5_avg_goals</t>
  </si>
  <si>
    <t>team_b_last5_wins</t>
  </si>
  <si>
    <t>team_b_last5_win_rate</t>
  </si>
  <si>
    <t>target_date</t>
  </si>
  <si>
    <t>side</t>
  </si>
  <si>
    <t>team_master_name</t>
  </si>
  <si>
    <t>lag</t>
  </si>
  <si>
    <t>historical_date</t>
  </si>
  <si>
    <t>team_source_name</t>
  </si>
  <si>
    <t>opponent</t>
  </si>
  <si>
    <t>goals_for</t>
  </si>
  <si>
    <t>goals_against</t>
  </si>
  <si>
    <t>result</t>
  </si>
  <si>
    <t>win_indicator</t>
  </si>
  <si>
    <t>competition</t>
  </si>
  <si>
    <t>source_csv_row</t>
  </si>
  <si>
    <t>Serbia</t>
  </si>
  <si>
    <t>W</t>
  </si>
  <si>
    <t>Friendly</t>
  </si>
  <si>
    <t>Jamaica</t>
  </si>
  <si>
    <t>Nicaragua</t>
  </si>
  <si>
    <t>Cameroon</t>
  </si>
  <si>
    <t>African Cup of Nations</t>
  </si>
  <si>
    <t>South Korea</t>
  </si>
  <si>
    <t>El Salvador</t>
  </si>
  <si>
    <t>Trinidad and Tobago</t>
  </si>
  <si>
    <t>Ivory Coast</t>
  </si>
  <si>
    <t>Czech Republic</t>
  </si>
  <si>
    <t>Guatemala</t>
  </si>
  <si>
    <t>Kosovo</t>
  </si>
  <si>
    <t>Denmark</t>
  </si>
  <si>
    <t>FIFA World Cup qualification</t>
  </si>
  <si>
    <t>Republic of Ireland</t>
  </si>
  <si>
    <t>Gibraltar</t>
  </si>
  <si>
    <t>Iceland</t>
  </si>
  <si>
    <t>Venezuela</t>
  </si>
  <si>
    <t>North Macedonia</t>
  </si>
  <si>
    <t>Italy</t>
  </si>
  <si>
    <t>Wales</t>
  </si>
  <si>
    <t>United States</t>
  </si>
  <si>
    <t>Greece</t>
  </si>
  <si>
    <t>Peru</t>
  </si>
  <si>
    <t>Bolivia</t>
  </si>
  <si>
    <t>FIFA Series</t>
  </si>
  <si>
    <t>Turkey</t>
  </si>
  <si>
    <t>Romania</t>
  </si>
  <si>
    <t>Madagascar</t>
  </si>
  <si>
    <t>Burundi</t>
  </si>
  <si>
    <t>Arab Cup</t>
  </si>
  <si>
    <t>Syria</t>
  </si>
  <si>
    <t>Palestine</t>
  </si>
  <si>
    <t>Burkina Faso</t>
  </si>
  <si>
    <t>Finland</t>
  </si>
  <si>
    <t>Slovakia</t>
  </si>
  <si>
    <t>Aruba</t>
  </si>
  <si>
    <t>China</t>
  </si>
  <si>
    <t>Lithuania</t>
  </si>
  <si>
    <t>Kirin Cup</t>
  </si>
  <si>
    <t>Poland</t>
  </si>
  <si>
    <t>Ukraine</t>
  </si>
  <si>
    <t>Slovenia</t>
  </si>
  <si>
    <t>Mali</t>
  </si>
  <si>
    <t>Puerto Rico</t>
  </si>
  <si>
    <t>Cape Verde</t>
  </si>
  <si>
    <t>Bermuda</t>
  </si>
  <si>
    <t>Chile</t>
  </si>
  <si>
    <t>Al Ain International Cup</t>
  </si>
  <si>
    <t>Iran</t>
  </si>
  <si>
    <t>Gambia</t>
  </si>
  <si>
    <t>Costa Rica</t>
  </si>
  <si>
    <t>Jordan International Tournament</t>
  </si>
  <si>
    <t>Nigeria</t>
  </si>
  <si>
    <t>Liechtenstein</t>
  </si>
  <si>
    <t>Russia</t>
  </si>
  <si>
    <t>Northern Ireland</t>
  </si>
  <si>
    <t>Azerbaijan</t>
  </si>
  <si>
    <t>Andorra</t>
  </si>
  <si>
    <t>Honduras</t>
  </si>
  <si>
    <t>Zambia</t>
  </si>
  <si>
    <t>Mauritania</t>
  </si>
  <si>
    <t>Angola</t>
  </si>
  <si>
    <t>Cyprus</t>
  </si>
  <si>
    <t>Dominican Republic</t>
  </si>
  <si>
    <t>Albania</t>
  </si>
  <si>
    <t>Montenegro</t>
  </si>
  <si>
    <t>Armenia</t>
  </si>
  <si>
    <t>DR Congo</t>
  </si>
  <si>
    <t>Gabon</t>
  </si>
  <si>
    <t>FIFA World Cup</t>
  </si>
  <si>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</si>
  <si>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</si>
  <si>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</si>
  <si>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</si>
  <si>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</si>
  <si>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</si>
  <si>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</si>
  <si>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</si>
  <si>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</si>
  <si>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Malacca City</t>
  </si>
  <si>
    <t>Malaysia</t>
  </si>
  <si>
    <t>TRUE</t>
  </si>
  <si>
    <t>Luanda</t>
  </si>
  <si>
    <t>FALSE</t>
  </si>
  <si>
    <t>Toyota</t>
  </si>
  <si>
    <t>Torreón</t>
  </si>
  <si>
    <t>Chester</t>
  </si>
  <si>
    <t>Limassol</t>
  </si>
  <si>
    <t>Baku</t>
  </si>
  <si>
    <t>Porto</t>
  </si>
  <si>
    <t>Milan</t>
  </si>
  <si>
    <t>Tirana</t>
  </si>
  <si>
    <t>Leipzig</t>
  </si>
  <si>
    <t>Amsterdam</t>
  </si>
  <si>
    <t>Olomouc</t>
  </si>
  <si>
    <t>Podgorica</t>
  </si>
  <si>
    <t>Al Ain</t>
  </si>
  <si>
    <t>United Arab Emirates</t>
  </si>
  <si>
    <t>Tokyo</t>
  </si>
  <si>
    <t>Lille</t>
  </si>
  <si>
    <t>Fort Lauderdale</t>
  </si>
  <si>
    <t>New York</t>
  </si>
  <si>
    <t>Harrison</t>
  </si>
  <si>
    <t>Seoul</t>
  </si>
  <si>
    <t>San Antonio</t>
  </si>
  <si>
    <t>Tampa</t>
  </si>
  <si>
    <t>Pristina</t>
  </si>
  <si>
    <t>Solna</t>
  </si>
  <si>
    <t>Glasgow</t>
  </si>
  <si>
    <t>Seville</t>
  </si>
  <si>
    <t>Vienna</t>
  </si>
  <si>
    <t>Liège</t>
  </si>
  <si>
    <t>Kingston</t>
  </si>
  <si>
    <t>Willemstad</t>
  </si>
  <si>
    <t>Al Khor</t>
  </si>
  <si>
    <t>Al Rayyan</t>
  </si>
  <si>
    <t>Lusail</t>
  </si>
  <si>
    <t>Casablanca</t>
  </si>
  <si>
    <t>Rabat</t>
  </si>
  <si>
    <t>Marrakesh</t>
  </si>
  <si>
    <t>Agadir</t>
  </si>
  <si>
    <t>Dubai</t>
  </si>
  <si>
    <t>Zapopan</t>
  </si>
  <si>
    <t>Foxborough</t>
  </si>
  <si>
    <t>Orlando</t>
  </si>
  <si>
    <t>Cardiff</t>
  </si>
  <si>
    <t>Valencia</t>
  </si>
  <si>
    <t>Istanbul</t>
  </si>
  <si>
    <t>Prague</t>
  </si>
  <si>
    <t>Genoa</t>
  </si>
  <si>
    <t>Buenos Aires</t>
  </si>
  <si>
    <t>London</t>
  </si>
  <si>
    <t>Athens</t>
  </si>
  <si>
    <t>Madrid</t>
  </si>
  <si>
    <t>Jeddah</t>
  </si>
  <si>
    <t>Durban</t>
  </si>
  <si>
    <t>Villarreal</t>
  </si>
  <si>
    <t>Basel</t>
  </si>
  <si>
    <t>Antalya</t>
  </si>
  <si>
    <t>Sydney</t>
  </si>
  <si>
    <t>Auckland</t>
  </si>
  <si>
    <t>Tashkent</t>
  </si>
  <si>
    <t>Toronto</t>
  </si>
  <si>
    <t>Milton Keynes</t>
  </si>
  <si>
    <t>Mexico City</t>
  </si>
  <si>
    <t>Paris</t>
  </si>
  <si>
    <t>Atlanta</t>
  </si>
  <si>
    <t>Landover</t>
  </si>
  <si>
    <t>Stuttgart</t>
  </si>
  <si>
    <t>Turin</t>
  </si>
  <si>
    <t>Liverpool</t>
  </si>
  <si>
    <t>Chicago</t>
  </si>
  <si>
    <t>Lens</t>
  </si>
  <si>
    <t>Eindhoven</t>
  </si>
  <si>
    <t>Oslo</t>
  </si>
  <si>
    <t>Diamniadio</t>
  </si>
  <si>
    <t>Bačka Topola</t>
  </si>
  <si>
    <t>Cape Town</t>
  </si>
  <si>
    <t>Barcelona</t>
  </si>
  <si>
    <t>Guadalupe</t>
  </si>
  <si>
    <t>Zenica</t>
  </si>
  <si>
    <t>Melbourne</t>
  </si>
  <si>
    <t>Puebla</t>
  </si>
  <si>
    <t>Salé</t>
  </si>
  <si>
    <t>Dublin</t>
  </si>
  <si>
    <t>Cairo</t>
  </si>
  <si>
    <t>Girona</t>
  </si>
  <si>
    <t>Sarajevo</t>
  </si>
  <si>
    <t>Aksu</t>
  </si>
  <si>
    <t>Johannesburg</t>
  </si>
  <si>
    <t>Provo</t>
  </si>
  <si>
    <t>Pasadena</t>
  </si>
  <si>
    <t>Rio de Janeiro</t>
  </si>
  <si>
    <t>Lisbon</t>
  </si>
  <si>
    <t>Mainz</t>
  </si>
  <si>
    <t>St. Gallen</t>
  </si>
  <si>
    <t>Charlotte</t>
  </si>
  <si>
    <t>Edmonton</t>
  </si>
  <si>
    <t>Bogotá</t>
  </si>
  <si>
    <t>Rijeka</t>
  </si>
  <si>
    <t>Rotterdam</t>
  </si>
  <si>
    <t>Panama City</t>
  </si>
  <si>
    <t>Nantes</t>
  </si>
  <si>
    <t>Toluca</t>
  </si>
  <si>
    <t>A Coruña</t>
  </si>
  <si>
    <t>Montreal</t>
  </si>
  <si>
    <t>Miami</t>
  </si>
  <si>
    <t>Asunción</t>
  </si>
  <si>
    <t>Austin</t>
  </si>
  <si>
    <t>College Station</t>
  </si>
  <si>
    <t>San Diego</t>
  </si>
  <si>
    <t>Brussels</t>
  </si>
  <si>
    <t>East Hartford</t>
  </si>
  <si>
    <t>Cleveland</t>
  </si>
  <si>
    <t>Pachuca</t>
  </si>
  <si>
    <t>St. Louis</t>
  </si>
  <si>
    <t>Oeiras</t>
  </si>
  <si>
    <t>Los Angeles</t>
  </si>
  <si>
    <t>Varaždin</t>
  </si>
  <si>
    <t>Columbus</t>
  </si>
  <si>
    <t>Auburn</t>
  </si>
  <si>
    <t>Orléans</t>
  </si>
  <si>
    <t>Bridgeview</t>
  </si>
  <si>
    <t>Kansas City</t>
  </si>
  <si>
    <t>Leiria</t>
  </si>
  <si>
    <t>Inglewood</t>
  </si>
  <si>
    <t>Santa Clara</t>
  </si>
  <si>
    <t>East Rutherford</t>
  </si>
  <si>
    <t>Vancouver</t>
  </si>
  <si>
    <t>Houston</t>
  </si>
  <si>
    <t>Philadelphia</t>
  </si>
  <si>
    <t>Arlington</t>
  </si>
  <si>
    <t>Seattle</t>
  </si>
  <si>
    <t>Miami Gardens</t>
  </si>
  <si>
    <t>Dallas</t>
  </si>
  <si>
    <t>X3 calculation</t>
  </si>
  <si>
    <t>Previous-five goals-for total / 5 for Team A minus the same measure for Team B. Calculated in Python.</t>
  </si>
  <si>
    <t>X5 calculation</t>
  </si>
  <si>
    <t>Previous-five wins / 5 for Team A minus the same measure for Team B. Stored as a proportion (-1 to +1), not percentage points.</t>
  </si>
  <si>
    <t>History collection source</t>
  </si>
  <si>
    <t>Mart Jürisoo international_results/results.csv. Retrieved 2026-10-13. Source URL is recorded in Last5_Evidence.</t>
  </si>
  <si>
    <t>Source documentation</t>
  </si>
  <si>
    <t>https://github.com/martj42/international_results (CC0-1.0). Full international scores include extra time and exclude penalty shootouts.</t>
  </si>
  <si>
    <t>Reproducibility</t>
  </si>
  <si>
    <t>The companion ZIP includes Python code, master input, the 2025-01-01 to 2026-07-19 raw source extract, CSV outputs and validation results.</t>
  </si>
  <si>
    <t>Date precision</t>
  </si>
  <si>
    <t>Source provides match dates, not kickoff times. Use historical_date &lt; target_date. No conflicting same-date team records or tied dates in selected windows were detected.</t>
  </si>
  <si>
    <t>History audit</t>
  </si>
  <si>
    <t>104 matches; 208 team windows; 1,040 supporting entries; 281 unique historical matches; exactly five earlier matches per team. lag=1 is the most recent.</t>
  </si>
  <si>
    <t>Score reconciliation</t>
  </si>
  <si>
    <t>All 104 supplied match scores and targets agree with the downloaded dataset after mapping names and aligning team order. This is secondary-source agreement.</t>
  </si>
  <si>
    <t>Ordering differences</t>
  </si>
  <si>
    <t>Source home/away order differs from the master for internal match IDs 51, 53 and 59. Calculations retain master Team A minus Team B ordering.</t>
  </si>
  <si>
    <t>X7 consistency check</t>
  </si>
  <si>
    <t>The latest historical dates reproduce all 104 supplied rest_days_diff values. X7 and X8 were retained. X8 ranks were not audited.</t>
  </si>
  <si>
    <t>Collection scope</t>
  </si>
  <si>
    <t>Only X3 and X5 completed here. X1, X2, X4 and X6 remain blank. Overall collection_status stays In Progress.</t>
  </si>
  <si>
    <t>Verification limit</t>
  </si>
  <si>
    <t>Historical coverage relies on the cited secondary dataset. Not every historical score has been independently checked against primary match reports.</t>
  </si>
  <si>
    <t>Name mapping</t>
  </si>
  <si>
    <t>USA=United States; Korea Republic=South Korea; Czechia=Czech Republic; Türkiye=Turkey; Côte d'Ivoire=Ivory Coast; Cabo Verde=Cape Verde; Congo DR=DR Congo; IR Iran=Iran.</t>
  </si>
  <si>
    <t>Team A previous 5 (date opponent GF-GA)</t>
  </si>
  <si>
    <t>Team B previous 5 (date opponent GF-GA)</t>
  </si>
  <si>
    <t>A goals conceded (5)</t>
  </si>
  <si>
    <t>B goals conceded (5)</t>
  </si>
  <si>
    <t>A avg conceded</t>
  </si>
  <si>
    <t>B avg conceded</t>
  </si>
  <si>
    <t>X4 = A - B</t>
  </si>
  <si>
    <t>A clean sheets (of 5)</t>
  </si>
  <si>
    <t>B clean sheets (of 5)</t>
  </si>
  <si>
    <t>A clean-sheet rate</t>
  </si>
  <si>
    <t>B clean-sheet rate</t>
  </si>
  <si>
    <t>X6 = A - B</t>
  </si>
  <si>
    <t>2026-03-28 Portugal 0-0; 2026-03-31 Belgium 1-1; 2026-05-22 Ghana 2-0; 2026-05-30 Australia 1-0; 2026-06-04 Serbia 5-1</t>
  </si>
  <si>
    <t>2026-01-04 Cameroon 1-2; 2026-03-27 Panama 1-1; 2026-03-31 Panama 1-2; 2026-05-29 Nicaragua 0-0; 2026-06-06 Jamaica 1-0</t>
  </si>
  <si>
    <t>2025-11-18 Ghana 1-0; 2026-03-28 Ivory Coast 0-4; 2026-03-31 Austria 0-1; 2026-05-30 Trinidad and Tobago 5-0; 2026-06-03 El Salvador 1-0</t>
  </si>
  <si>
    <t>2025-11-17 Gibraltar 6-0; 2026-03-26 Republic of Ireland 2-2; 2026-03-31 Denmark 2-2; 2026-05-31 Kosovo 2-1; 2026-06-04 Guatemala 5-1</t>
  </si>
  <si>
    <t>2025-11-18 Venezuela 2-0; 2026-03-28 Iceland 2-2; 2026-03-31 Tunisia 0-0; 2026-06-01 Uzbekistan 2-0; 2026-06-05 Republic of Ireland 1-1</t>
  </si>
  <si>
    <t>2025-11-18 Austria 1-1; 2026-03-26 Wales 1-1; 2026-03-31 Italy 1-1; 2026-05-29 North Macedonia 0-0; 2026-06-06 Panama 1-1</t>
  </si>
  <si>
    <t>2025-11-18 Uruguay 5-1; 2026-03-28 Belgium 2-5; 2026-03-31 Portugal 0-2; 2026-05-31 Senegal 3-2; 2026-06-06 Germany 1-2</t>
  </si>
  <si>
    <t>2025-11-15 United States 1-2; 2025-11-18 Mexico 2-1; 2026-03-27 Greece 1-0; 2026-03-31 Morocco 1-2; 2026-06-05 Nicaragua 4-0</t>
  </si>
  <si>
    <t>2025-11-18 Nicaragua 2-0; 2026-03-28 Tunisia 0-1; 2026-03-31 Iceland 1-1; 2026-06-02 New Zealand 4-0; 2026-06-05 Peru 1-2</t>
  </si>
  <si>
    <t>2025-11-18 Denmark 4-2; 2026-03-28 Japan 0-1; 2026-03-31 Ivory Coast 0-1; 2026-05-30 Curaçao 4-1; 2026-06-06 Bolivia 4-0</t>
  </si>
  <si>
    <t>2025-11-18 Colombia 0-3; 2026-03-27 Cameroon 1-0; 2026-03-31 Curaçao 5-1; 2026-05-30 Mexico 0-1; 2026-06-06 Switzerland 1-1</t>
  </si>
  <si>
    <t>2025-11-18 Spain 2-2; 2026-03-26 Romania 1-0; 2026-03-31 Kosovo 1-0; 2026-06-01 North Macedonia 4-0; 2026-06-06 Venezuela 2-1</t>
  </si>
  <si>
    <t>2025-11-18 Tunisia 1-1; 2026-03-26 France 1-2; 2026-03-31 Croatia 3-1; 2026-05-31 Panama 6-2; 2026-06-06 Egypt 2-1</t>
  </si>
  <si>
    <t>2026-03-27 Ecuador 1-1; 2026-03-31 Paraguay 2-1; 2026-05-26 Burundi 5-0; 2026-06-02 Madagascar 4-0; 2026-06-07 Norway 1-1</t>
  </si>
  <si>
    <t>2025-12-01 Palestine 0-1; 2025-12-04 Syria 1-1; 2025-12-07 Tunisia 0-3; 2026-05-28 Republic of Ireland 0-1; 2026-06-06 El Salvador 0-0</t>
  </si>
  <si>
    <t>2025-11-18 Kosovo 1-1; 2026-03-27 Germany 3-4; 2026-03-31 Norway 0-0; 2026-05-31 Jordan 4-1; 2026-06-06 Australia 1-1</t>
  </si>
  <si>
    <t>2026-01-06 Burkina Faso 3-0; 2026-01-10 Egypt 2-3; 2026-03-28 South Korea 4-0; 2026-03-31 Scotland 1-0; 2026-06-04 France 2-1</t>
  </si>
  <si>
    <t>2025-11-18 New Zealand 2-0; 2026-03-27 Morocco 1-1; 2026-03-31 Netherlands 1-1; 2026-05-30 Saudi Arabia 2-1; 2026-06-07 Guatemala 3-0</t>
  </si>
  <si>
    <t>2025-11-17 Slovakia 6-0; 2026-03-27 Switzerland 4-3; 2026-03-30 Ghana 2-1; 2026-05-31 Finland 4-0; 2026-06-06 United States 2-1</t>
  </si>
  <si>
    <t>2025-11-18 Jamaica 0-0; 2026-03-27 China 0-2; 2026-03-31 Australia 1-5; 2026-05-30 Scotland 1-4; 2026-06-06 Aruba 4-0</t>
  </si>
  <si>
    <t>2025-11-17 Lithuania 4-0; 2026-03-27 Norway 2-1; 2026-03-31 Ecuador 1-1; 2026-06-03 Algeria 0-1; 2026-06-08 Uzbekistan 2-1</t>
  </si>
  <si>
    <t>2025-11-14 Ghana 2-0; 2025-11-18 Bolivia 3-0; 2026-03-28 Scotland 1-0; 2026-03-31 England 1-0; 2026-05-31 Iceland 1-0</t>
  </si>
  <si>
    <t>2025-11-18 Slovenia 1-1; 2026-03-26 Ukraine 3-1; 2026-03-31 Poland 3-2; 2026-06-01 Norway 1-3; 2026-06-04 Greece 2-2</t>
  </si>
  <si>
    <t>2026-01-03 Mali 1-1; 2026-03-28 Haiti 1-0; 2026-03-31 Canada 0-0; 2026-06-01 Austria 0-1; 2026-06-06 Belgium 0-5</t>
  </si>
  <si>
    <t>2026-03-27 Egypt 0-4; 2026-03-31 Serbia 1-2; 2026-05-30 Ecuador 1-2; 2026-06-05 Puerto Rico 3-0; 2026-06-09 Senegal 0-0</t>
  </si>
  <si>
    <t>2025-10-13 Uzbekistan 2-1; 2025-11-15 Mexico 0-0; 2025-11-18 United States 1-5; 2026-03-27 England 1-1; 2026-03-31 Algeria 0-0</t>
  </si>
  <si>
    <t>2025-11-18 Turkey 2-2; 2026-03-27 Serbia 3-0; 2026-03-31 Egypt 0-0; 2026-06-04 Iraq 1-1; 2026-06-08 Peru 3-1</t>
  </si>
  <si>
    <t>2025-11-17 Egypt 1-1; 2026-03-27 Chile 2-4; 2026-03-30 Finland 1-1; 2026-05-31 Serbia 3-0; 2026-06-06 Bermuda 0-3</t>
  </si>
  <si>
    <t>2025-11-18 Uzbekistan 0-0; 2026-03-27 Nigeria 1-2; 2026-03-31 Costa Rica 5-0; 2026-05-29 Gambia 3-1; 2026-06-04 Mali 2-0</t>
  </si>
  <si>
    <t>2025-11-18 Ecuador 0-2; 2026-03-27 Finland 0-2; 2026-03-30 Chile 4-1; 2026-06-02 Haiti 0-4; 2026-06-06 England 0-1</t>
  </si>
  <si>
    <t>2025-11-18 Liechtenstein 7-0; 2026-03-28 United States 5-2; 2026-03-31 Mexico 1-1; 2026-06-02 Croatia 2-0; 2026-06-06 Tunisia 5-0</t>
  </si>
  <si>
    <t>2026-01-17 Nigeria 0-0; 2026-03-27 Saudi Arabia 4-0; 2026-03-31 Spain 0-0; 2026-05-28 Russia 1-0; 2026-06-06 Brazil 1-2</t>
  </si>
  <si>
    <t>2025-11-16 Azerbaijan 3-1; 2026-03-26 Brazil 2-1; 2026-03-29 Colombia 3-1; 2026-06-04 Ivory Coast 1-2; 2026-06-08 Northern Ireland 3-1</t>
  </si>
  <si>
    <t>2026-01-18 Morocco 0-3; 2026-03-28 Peru 2-0; 2026-03-31 Gambia 3-1; 2026-05-31 United States 2-3; 2026-06-09 Saudi Arabia 0-0</t>
  </si>
  <si>
    <t>2025-12-12 Jordan 0-1; 2026-03-31 Bolivia 2-1; 2026-05-29 Andorra 1-0; 2026-06-04 Spain 1-1; 2026-06-09 Venezuela 0-2</t>
  </si>
  <si>
    <t>2025-11-16 Italy 4-1; 2026-03-27 Netherlands 1-2; 2026-03-31 Switzerland 0-0; 2026-06-01 Sweden 3-1; 2026-06-07 Morocco 1-1</t>
  </si>
  <si>
    <t>2025-11-14 Angola 2-0; 2026-03-27 Mauritania 2-1; 2026-03-31 Zambia 5-0; 2026-06-06 Honduras 2-0; 2026-06-09 Iceland 3-0</t>
  </si>
  <si>
    <t>2026-01-10 Nigeria 0-2; 2026-03-27 Guatemala 7-0; 2026-03-31 Uruguay 0-0; 2026-06-03 Netherlands 1-0; 2026-06-10 Bolivia 4-0</t>
  </si>
  <si>
    <t>2025-11-15 Cyprus 2-0; 2025-11-18 Bosnia and Herzegovina 1-1; 2026-03-27 Ghana 5-1; 2026-03-31 South Korea 1-0; 2026-06-01 Tunisia 1-0</t>
  </si>
  <si>
    <t>2025-12-18 Morocco 2-3; 2026-03-27 Costa Rica 2-2; 2026-03-31 Nigeria 2-2; 2026-05-31 Switzerland 1-4; 2026-06-07 Colombia 0-2</t>
  </si>
  <si>
    <t>2025-11-18 South Korea 0-1; 2026-03-27 Austria 1-5; 2026-03-30 Germany 1-2; 2026-05-22 Mexico 0-2; 2026-06-02 Wales 1-1</t>
  </si>
  <si>
    <t>2026-03-27 South Africa 1-1; 2026-03-31 South Africa 2-1; 2026-05-31 Brazil 2-6; 2026-06-03 Dominican Republic 4-2; 2026-06-06 Bosnia and Herzegovina 1-1</t>
  </si>
  <si>
    <t>2025-11-16 Albania 2-0; 2026-03-27 Uruguay 1-1; 2026-03-31 Japan 0-1; 2026-06-06 New Zealand 1-0; 2026-06-10 Costa Rica 3-0</t>
  </si>
  <si>
    <t>2025-11-17 Montenegro 3-2; 2026-03-26 Colombia 2-1; 2026-03-31 Brazil 1-3; 2026-06-02 Belgium 0-2; 2026-06-07 Slovenia 2-1</t>
  </si>
  <si>
    <t>2025-11-16 Armenia 9-1; 2026-03-28 Mexico 0-0; 2026-03-31 United States 2-0; 2026-06-06 Chile 2-1; 2026-06-10 Nigeria 2-1</t>
  </si>
  <si>
    <t>2026-01-06 Algeria 0-1; 2026-03-25 Bermuda 2-0; 2026-03-31 Jamaica 1-0; 2026-06-03 Denmark 0-0; 2026-06-09 Chile 1-2</t>
  </si>
  <si>
    <t>2026-01-26 China 2-2; 2026-03-27 Gabon 3-1; 2026-03-30 Venezuela 0-0; 2026-06-01 Canada 0-2; 2026-06-08 Netherlands 1-2</t>
  </si>
  <si>
    <t>2025-11-18 Australia 3-0; 2026-03-26 Croatia 1-2; 2026-03-29 France 1-3; 2026-06-01 Costa Rica 3-1; 2026-06-07 Jordan 2-0</t>
  </si>
  <si>
    <t>2026-03-26 Republic of Ireland 2-2; 2026-03-31 Denmark 2-2; 2026-05-31 Kosovo 2-1; 2026-06-04 Guatemala 5-1; 2026-06-11 South Korea 1-2</t>
  </si>
  <si>
    <t>2026-03-27 Panama 1-1; 2026-03-31 Panama 1-2; 2026-05-29 Nicaragua 0-0; 2026-06-06 Jamaica 1-0; 2026-06-11 Mexico 0-2</t>
  </si>
  <si>
    <t>2026-03-27 Germany 3-4; 2026-03-31 Norway 0-0; 2026-05-31 Jordan 4-1; 2026-06-06 Australia 1-1; 2026-06-13 Qatar 1-1</t>
  </si>
  <si>
    <t>2026-03-26 Wales 1-1; 2026-03-31 Italy 1-1; 2026-05-29 North Macedonia 0-0; 2026-06-06 Panama 1-1; 2026-06-12 Canada 1-1</t>
  </si>
  <si>
    <t>2026-03-28 Iceland 2-2; 2026-03-31 Tunisia 0-0; 2026-06-01 Uzbekistan 2-0; 2026-06-05 Republic of Ireland 1-1; 2026-06-12 Bosnia and Herzegovina 1-1</t>
  </si>
  <si>
    <t>2025-12-04 Syria 1-1; 2025-12-07 Tunisia 0-3; 2026-05-28 Republic of Ireland 0-1; 2026-06-06 El Salvador 0-0; 2026-06-13 Switzerland 1-1</t>
  </si>
  <si>
    <t>2026-03-31 Belgium 1-1; 2026-05-22 Ghana 2-0; 2026-05-30 Australia 1-0; 2026-06-04 Serbia 5-1; 2026-06-11 South Africa 2-0</t>
  </si>
  <si>
    <t>2026-03-28 Ivory Coast 0-4; 2026-03-31 Austria 0-1; 2026-05-30 Trinidad and Tobago 5-0; 2026-06-03 El Salvador 1-0; 2026-06-11 Czech Republic 2-1</t>
  </si>
  <si>
    <t>2026-03-26 France 1-2; 2026-03-31 Croatia 3-1; 2026-05-31 Panama 6-2; 2026-06-06 Egypt 2-1; 2026-06-13 Morocco 1-1</t>
  </si>
  <si>
    <t>2026-03-28 Tunisia 0-1; 2026-03-31 Iceland 1-1; 2026-06-02 New Zealand 4-0; 2026-06-05 Peru 1-2; 2026-06-13 Scotland 0-1</t>
  </si>
  <si>
    <t>2026-03-28 Japan 0-1; 2026-03-31 Ivory Coast 0-1; 2026-05-30 Curaçao 4-1; 2026-06-06 Bolivia 4-0; 2026-06-13 Haiti 1-0</t>
  </si>
  <si>
    <t>2026-03-31 Paraguay 2-1; 2026-05-26 Burundi 5-0; 2026-06-02 Madagascar 4-0; 2026-06-07 Norway 1-1; 2026-06-13 Brazil 1-1</t>
  </si>
  <si>
    <t>2026-03-26 Romania 1-0; 2026-03-31 Kosovo 1-0; 2026-06-01 North Macedonia 4-0; 2026-06-06 Venezuela 2-1; 2026-06-13 Australia 0-2</t>
  </si>
  <si>
    <t>2025-11-18 Mexico 2-1; 2026-03-27 Greece 1-0; 2026-03-31 Morocco 1-2; 2026-06-05 Nicaragua 4-0; 2026-06-12 United States 1-4</t>
  </si>
  <si>
    <t>2026-03-28 Belgium 2-5; 2026-03-31 Portugal 0-2; 2026-05-31 Senegal 3-2; 2026-06-06 Germany 1-2; 2026-06-12 Paraguay 4-1</t>
  </si>
  <si>
    <t>2026-03-27 Cameroon 1-0; 2026-03-31 Curaçao 5-1; 2026-05-30 Mexico 0-1; 2026-06-06 Switzerland 1-1; 2026-06-13 Turkey 2-0</t>
  </si>
  <si>
    <t>2026-03-27 Switzerland 4-3; 2026-03-30 Ghana 2-1; 2026-05-31 Finland 4-0; 2026-06-06 United States 2-1; 2026-06-14 Curaçao 7-1</t>
  </si>
  <si>
    <t>2026-01-10 Egypt 2-3; 2026-03-28 South Korea 4-0; 2026-03-31 Scotland 1-0; 2026-06-04 France 2-1; 2026-06-14 Ecuador 1-0</t>
  </si>
  <si>
    <t>2026-03-27 Morocco 1-1; 2026-03-31 Netherlands 1-1; 2026-05-30 Saudi Arabia 2-1; 2026-06-07 Guatemala 3-0; 2026-06-14 Ivory Coast 0-1</t>
  </si>
  <si>
    <t>2026-03-27 China 0-2; 2026-03-31 Australia 1-5; 2026-05-30 Scotland 1-4; 2026-06-06 Aruba 4-0; 2026-06-14 Germany 1-7</t>
  </si>
  <si>
    <t>2026-03-27 Norway 2-1; 2026-03-31 Ecuador 1-1; 2026-06-03 Algeria 0-1; 2026-06-08 Uzbekistan 2-1; 2026-06-14 Japan 2-2</t>
  </si>
  <si>
    <t>2026-03-26 Ukraine 3-1; 2026-03-31 Poland 3-2; 2026-06-01 Norway 1-3; 2026-06-04 Greece 2-2; 2026-06-14 Tunisia 5-1</t>
  </si>
  <si>
    <t>2026-03-28 Haiti 1-0; 2026-03-31 Canada 0-0; 2026-06-01 Austria 0-1; 2026-06-06 Belgium 0-5; 2026-06-14 Sweden 1-5</t>
  </si>
  <si>
    <t>2025-11-18 Bolivia 3-0; 2026-03-28 Scotland 1-0; 2026-03-31 England 1-0; 2026-05-31 Iceland 1-0; 2026-06-14 Netherlands 2-2</t>
  </si>
  <si>
    <t>2025-11-15 Mexico 0-0; 2025-11-18 United States 1-5; 2026-03-27 England 1-1; 2026-03-31 Algeria 0-0; 2026-06-15 Saudi Arabia 1-1</t>
  </si>
  <si>
    <t>2026-03-27 Chile 2-4; 2026-03-30 Finland 1-1; 2026-05-31 Serbia 3-0; 2026-06-06 Bermuda 0-3; 2026-06-15 Spain 0-0</t>
  </si>
  <si>
    <t>2026-03-27 Serbia 3-0; 2026-03-31 Egypt 0-0; 2026-06-04 Iraq 1-1; 2026-06-08 Peru 3-1; 2026-06-15 Cape Verde 0-0</t>
  </si>
  <si>
    <t>2026-03-31 Serbia 1-2; 2026-05-30 Ecuador 1-2; 2026-06-05 Puerto Rico 3-0; 2026-06-09 Senegal 0-0; 2026-06-15 Uruguay 1-1</t>
  </si>
  <si>
    <t>2026-03-28 United States 5-2; 2026-03-31 Mexico 1-1; 2026-06-02 Croatia 2-0; 2026-06-06 Tunisia 5-0; 2026-06-15 Egypt 1-1</t>
  </si>
  <si>
    <t>2026-03-27 Nigeria 1-2; 2026-03-31 Costa Rica 5-0; 2026-05-29 Gambia 3-1; 2026-06-04 Mali 2-0; 2026-06-15 New Zealand 2-2</t>
  </si>
  <si>
    <t>2026-03-27 Finland 0-2; 2026-03-30 Chile 4-1; 2026-06-02 Haiti 0-4; 2026-06-06 England 0-1; 2026-06-15 Iran 2-2</t>
  </si>
  <si>
    <t>2026-03-27 Saudi Arabia 4-0; 2026-03-31 Spain 0-0; 2026-05-28 Russia 1-0; 2026-06-06 Brazil 1-2; 2026-06-15 Belgium 1-1</t>
  </si>
  <si>
    <t>2026-03-27 Netherlands 1-2; 2026-03-31 Switzerland 0-0; 2026-06-01 Sweden 3-1; 2026-06-07 Morocco 1-1; 2026-06-16 Iraq 4-1</t>
  </si>
  <si>
    <t>2026-03-28 Peru 2-0; 2026-03-31 Gambia 3-1; 2026-05-31 United States 2-3; 2026-06-09 Saudi Arabia 0-0; 2026-06-16 France 1-3</t>
  </si>
  <si>
    <t>2026-03-26 Brazil 2-1; 2026-03-29 Colombia 3-1; 2026-06-04 Ivory Coast 1-2; 2026-06-08 Northern Ireland 3-1; 2026-06-16 Senegal 3-1</t>
  </si>
  <si>
    <t>2026-03-31 Bolivia 2-1; 2026-05-29 Andorra 1-0; 2026-06-04 Spain 1-1; 2026-06-09 Venezuela 0-2; 2026-06-16 Norway 1-4</t>
  </si>
  <si>
    <t>2026-03-27 Mauritania 2-1; 2026-03-31 Zambia 5-0; 2026-06-06 Honduras 2-0; 2026-06-09 Iceland 3-0; 2026-06-16 Algeria 3-0</t>
  </si>
  <si>
    <t>2025-11-18 Bosnia and Herzegovina 1-1; 2026-03-27 Ghana 5-1; 2026-03-31 South Korea 1-0; 2026-06-01 Tunisia 1-0; 2026-06-16 Jordan 3-1</t>
  </si>
  <si>
    <t>2026-03-27 Costa Rica 2-2; 2026-03-31 Nigeria 2-2; 2026-05-31 Switzerland 1-4; 2026-06-07 Colombia 0-2; 2026-06-16 Austria 1-3</t>
  </si>
  <si>
    <t>2026-03-27 Guatemala 7-0; 2026-03-31 Uruguay 0-0; 2026-06-03 Netherlands 1-0; 2026-06-10 Bolivia 4-0; 2026-06-16 Argentina 0-3</t>
  </si>
  <si>
    <t>2026-03-27 Uruguay 1-1; 2026-03-31 Japan 0-1; 2026-06-06 New Zealand 1-0; 2026-06-10 Costa Rica 3-0; 2026-06-17 Croatia 4-2</t>
  </si>
  <si>
    <t>2026-03-27 Austria 1-5; 2026-03-30 Germany 1-2; 2026-05-22 Mexico 0-2; 2026-06-02 Wales 1-1; 2026-06-17 Panama 1-0</t>
  </si>
  <si>
    <t>2026-03-31 South Africa 2-1; 2026-05-31 Brazil 2-6; 2026-06-03 Dominican Republic 4-2; 2026-06-06 Bosnia and Herzegovina 1-1; 2026-06-17 Ghana 0-1</t>
  </si>
  <si>
    <t>2026-03-26 Colombia 2-1; 2026-03-31 Brazil 1-3; 2026-06-02 Belgium 0-2; 2026-06-07 Slovenia 2-1; 2026-06-17 England 2-4</t>
  </si>
  <si>
    <t>2026-03-28 Mexico 0-0; 2026-03-31 United States 2-0; 2026-06-06 Chile 2-1; 2026-06-10 Nigeria 2-1; 2026-06-17 DR Congo 1-1</t>
  </si>
  <si>
    <t>2026-03-27 Gabon 3-1; 2026-03-30 Venezuela 0-0; 2026-06-01 Canada 0-2; 2026-06-08 Netherlands 1-2; 2026-06-17 Colombia 1-3</t>
  </si>
  <si>
    <t>2026-03-26 Croatia 1-2; 2026-03-29 France 1-3; 2026-06-01 Costa Rica 3-1; 2026-06-07 Jordan 2-0; 2026-06-17 Uzbekistan 3-1</t>
  </si>
  <si>
    <t>2026-03-25 Bermuda 2-0; 2026-03-31 Jamaica 1-0; 2026-06-03 Denmark 0-0; 2026-06-09 Chile 1-2; 2026-06-17 Portugal 1-1</t>
  </si>
  <si>
    <t>2026-03-31 Ivory Coast 0-1; 2026-05-30 Curaçao 4-1; 2026-06-06 Bolivia 4-0; 2026-06-13 Haiti 1-0; 2026-06-19 Morocco 0-1</t>
  </si>
  <si>
    <t>2026-03-31 Croatia 3-1; 2026-05-31 Panama 6-2; 2026-06-06 Egypt 2-1; 2026-06-13 Morocco 1-1; 2026-06-19 Haiti 3-0</t>
  </si>
  <si>
    <t>2026-05-26 Burundi 5-0; 2026-06-02 Madagascar 4-0; 2026-06-07 Norway 1-1; 2026-06-13 Brazil 1-1; 2026-06-19 Scotland 1-0</t>
  </si>
  <si>
    <t>2026-03-31 Iceland 1-1; 2026-06-02 New Zealand 4-0; 2026-06-05 Peru 1-2; 2026-06-13 Scotland 0-1; 2026-06-19 Brazil 0-3</t>
  </si>
  <si>
    <t>2026-03-31 Norway 0-0; 2026-05-31 Jordan 4-1; 2026-06-06 Australia 1-1; 2026-06-13 Qatar 1-1; 2026-06-18 Bosnia and Herzegovina 4-1</t>
  </si>
  <si>
    <t>2026-03-31 Tunisia 0-0; 2026-06-01 Uzbekistan 2-0; 2026-06-05 Republic of Ireland 1-1; 2026-06-12 Bosnia and Herzegovina 1-1; 2026-06-18 Qatar 6-0</t>
  </si>
  <si>
    <t>2026-03-31 Italy 1-1; 2026-05-29 North Macedonia 0-0; 2026-06-06 Panama 1-1; 2026-06-12 Canada 1-1; 2026-06-18 Switzerland 1-4</t>
  </si>
  <si>
    <t>2025-12-07 Tunisia 0-3; 2026-05-28 Republic of Ireland 0-1; 2026-06-06 El Salvador 0-0; 2026-06-13 Switzerland 1-1; 2026-06-18 Canada 0-6</t>
  </si>
  <si>
    <t>2026-03-31 Denmark 2-2; 2026-05-31 Kosovo 2-1; 2026-06-04 Guatemala 5-1; 2026-06-11 South Korea 1-2; 2026-06-18 South Africa 1-1</t>
  </si>
  <si>
    <t>2026-05-22 Ghana 2-0; 2026-05-30 Australia 1-0; 2026-06-04 Serbia 5-1; 2026-06-11 South Africa 2-0; 2026-06-18 South Korea 1-0</t>
  </si>
  <si>
    <t>2026-03-31 Panama 1-2; 2026-05-29 Nicaragua 0-0; 2026-06-06 Jamaica 1-0; 2026-06-11 Mexico 0-2; 2026-06-18 Czech Republic 1-1</t>
  </si>
  <si>
    <t>2026-03-31 Austria 0-1; 2026-05-30 Trinidad and Tobago 5-0; 2026-06-03 El Salvador 1-0; 2026-06-11 Czech Republic 2-1; 2026-06-18 Mexico 0-1</t>
  </si>
  <si>
    <t>2026-03-31 Australia 1-5; 2026-05-30 Scotland 1-4; 2026-06-06 Aruba 4-0; 2026-06-14 Germany 1-7; 2026-06-20 Ecuador 0-0</t>
  </si>
  <si>
    <t>2026-03-28 South Korea 4-0; 2026-03-31 Scotland 1-0; 2026-06-04 France 2-1; 2026-06-14 Ecuador 1-0; 2026-06-20 Germany 1-2</t>
  </si>
  <si>
    <t>2026-03-31 Netherlands 1-1; 2026-05-30 Saudi Arabia 2-1; 2026-06-07 Guatemala 3-0; 2026-06-14 Ivory Coast 0-1; 2026-06-20 Curaçao 0-0</t>
  </si>
  <si>
    <t>2026-03-30 Ghana 2-1; 2026-05-31 Finland 4-0; 2026-06-06 United States 2-1; 2026-06-14 Curaçao 7-1; 2026-06-20 Ivory Coast 2-1</t>
  </si>
  <si>
    <t>2026-03-28 Scotland 1-0; 2026-03-31 England 1-0; 2026-05-31 Iceland 1-0; 2026-06-14 Netherlands 2-2; 2026-06-20 Tunisia 4-0</t>
  </si>
  <si>
    <t>2026-03-31 Poland 3-2; 2026-06-01 Norway 1-3; 2026-06-04 Greece 2-2; 2026-06-14 Tunisia 5-1; 2026-06-20 Netherlands 1-5</t>
  </si>
  <si>
    <t>2026-03-31 Canada 0-0; 2026-06-01 Austria 0-1; 2026-06-06 Belgium 0-5; 2026-06-14 Sweden 1-5; 2026-06-20 Japan 0-4</t>
  </si>
  <si>
    <t>2026-03-31 Ecuador 1-1; 2026-06-03 Algeria 0-1; 2026-06-08 Uzbekistan 2-1; 2026-06-14 Japan 2-2; 2026-06-20 Sweden 5-1</t>
  </si>
  <si>
    <t>2026-03-31 Kosovo 1-0; 2026-06-01 North Macedonia 4-0; 2026-06-06 Venezuela 2-1; 2026-06-13 Australia 0-2; 2026-06-19 Paraguay 0-1</t>
  </si>
  <si>
    <t>2026-03-31 Portugal 0-2; 2026-05-31 Senegal 3-2; 2026-06-06 Germany 1-2; 2026-06-12 Paraguay 4-1; 2026-06-19 Australia 2-0</t>
  </si>
  <si>
    <t>2026-03-27 Greece 1-0; 2026-03-31 Morocco 1-2; 2026-06-05 Nicaragua 4-0; 2026-06-12 United States 1-4; 2026-06-19 Turkey 1-0</t>
  </si>
  <si>
    <t>2026-03-31 Curaçao 5-1; 2026-05-30 Mexico 0-1; 2026-06-06 Switzerland 1-1; 2026-06-13 Turkey 2-0; 2026-06-19 United States 0-2</t>
  </si>
  <si>
    <t>2026-03-31 Switzerland 0-0; 2026-06-01 Sweden 3-1; 2026-06-07 Morocco 1-1; 2026-06-16 Iraq 4-1; 2026-06-22 Senegal 3-2</t>
  </si>
  <si>
    <t>2026-03-29 Colombia 3-1; 2026-06-04 Ivory Coast 1-2; 2026-06-08 Northern Ireland 3-1; 2026-06-16 Senegal 3-1; 2026-06-22 Iraq 3-0</t>
  </si>
  <si>
    <t>2026-03-31 Gambia 3-1; 2026-05-31 United States 2-3; 2026-06-09 Saudi Arabia 0-0; 2026-06-16 France 1-3; 2026-06-22 Norway 2-3</t>
  </si>
  <si>
    <t>2026-05-29 Andorra 1-0; 2026-06-04 Spain 1-1; 2026-06-09 Venezuela 0-2; 2026-06-16 Norway 1-4; 2026-06-22 France 0-3</t>
  </si>
  <si>
    <t>2026-03-31 Spain 0-0; 2026-05-28 Russia 1-0; 2026-06-06 Brazil 1-2; 2026-06-15 Belgium 1-1; 2026-06-21 New Zealand 3-1</t>
  </si>
  <si>
    <t>2026-03-31 Costa Rica 5-0; 2026-05-29 Gambia 3-1; 2026-06-04 Mali 2-0; 2026-06-15 New Zealand 2-2; 2026-06-21 Belgium 0-0</t>
  </si>
  <si>
    <t>2026-03-30 Chile 4-1; 2026-06-02 Haiti 0-4; 2026-06-06 England 0-1; 2026-06-15 Iran 2-2; 2026-06-21 Egypt 1-3</t>
  </si>
  <si>
    <t>2026-03-31 Mexico 1-1; 2026-06-02 Croatia 2-0; 2026-06-06 Tunisia 5-0; 2026-06-15 Egypt 1-1; 2026-06-21 Iran 0-0</t>
  </si>
  <si>
    <t>2026-03-30 Finland 1-1; 2026-05-31 Serbia 3-0; 2026-06-06 Bermuda 0-3; 2026-06-15 Spain 0-0; 2026-06-21 Uruguay 2-2</t>
  </si>
  <si>
    <t>2026-05-30 Ecuador 1-2; 2026-06-05 Puerto Rico 3-0; 2026-06-09 Senegal 0-0; 2026-06-15 Uruguay 1-1; 2026-06-21 Spain 0-4</t>
  </si>
  <si>
    <t>2025-11-18 United States 1-5; 2026-03-27 England 1-1; 2026-03-31 Algeria 0-0; 2026-06-15 Saudi Arabia 1-1; 2026-06-21 Cape Verde 2-2</t>
  </si>
  <si>
    <t>2026-03-31 Egypt 0-0; 2026-06-04 Iraq 1-1; 2026-06-08 Peru 3-1; 2026-06-15 Cape Verde 0-0; 2026-06-21 Saudi Arabia 4-0</t>
  </si>
  <si>
    <t>2026-05-31 Brazil 2-6; 2026-06-03 Dominican Republic 4-2; 2026-06-06 Bosnia and Herzegovina 1-1; 2026-06-17 Ghana 0-1; 2026-06-23 Croatia 0-1</t>
  </si>
  <si>
    <t>2026-03-31 Japan 0-1; 2026-06-06 New Zealand 1-0; 2026-06-10 Costa Rica 3-0; 2026-06-17 Croatia 4-2; 2026-06-23 Ghana 0-0</t>
  </si>
  <si>
    <t>2026-03-31 Brazil 1-3; 2026-06-02 Belgium 0-2; 2026-06-07 Slovenia 2-1; 2026-06-17 England 2-4; 2026-06-23 Panama 1-0</t>
  </si>
  <si>
    <t>2026-03-30 Germany 1-2; 2026-05-22 Mexico 0-2; 2026-06-02 Wales 1-1; 2026-06-17 Panama 1-0; 2026-06-23 England 0-0</t>
  </si>
  <si>
    <t>2026-03-31 Uruguay 0-0; 2026-06-03 Netherlands 1-0; 2026-06-10 Bolivia 4-0; 2026-06-16 Argentina 0-3; 2026-06-22 Jordan 2-1</t>
  </si>
  <si>
    <t>2026-03-27 Ghana 5-1; 2026-03-31 South Korea 1-0; 2026-06-01 Tunisia 1-0; 2026-06-16 Jordan 3-1; 2026-06-22 Argentina 0-2</t>
  </si>
  <si>
    <t>2026-03-31 Nigeria 2-2; 2026-05-31 Switzerland 1-4; 2026-06-07 Colombia 0-2; 2026-06-16 Austria 1-3; 2026-06-22 Algeria 1-2</t>
  </si>
  <si>
    <t>2026-03-31 Zambia 5-0; 2026-06-06 Honduras 2-0; 2026-06-09 Iceland 3-0; 2026-06-16 Algeria 3-0; 2026-06-22 Austria 2-0</t>
  </si>
  <si>
    <t>2026-03-29 France 1-3; 2026-06-01 Costa Rica 3-1; 2026-06-07 Jordan 2-0; 2026-06-17 Uzbekistan 3-1; 2026-06-23 DR Congo 1-0</t>
  </si>
  <si>
    <t>2026-03-31 United States 2-0; 2026-06-06 Chile 2-1; 2026-06-10 Nigeria 2-1; 2026-06-17 DR Congo 1-1; 2026-06-23 Uzbekistan 5-0</t>
  </si>
  <si>
    <t>2026-03-31 Jamaica 1-0; 2026-06-03 Denmark 0-0; 2026-06-09 Chile 1-2; 2026-06-17 Portugal 1-1; 2026-06-23 Colombia 0-1</t>
  </si>
  <si>
    <t>2026-03-30 Venezuela 0-0; 2026-06-01 Canada 0-2; 2026-06-08 Netherlands 1-2; 2026-06-17 Colombia 1-3; 2026-06-23 Portugal 0-5</t>
  </si>
  <si>
    <t>2026-05-29 Nicaragua 0-0; 2026-06-06 Jamaica 1-0; 2026-06-11 Mexico 0-2; 2026-06-18 Czech Republic 1-1; 2026-06-24 South Korea 1-0</t>
  </si>
  <si>
    <t>2026-06-01 Uzbekistan 2-0; 2026-06-05 Republic of Ireland 1-1; 2026-06-12 Bosnia and Herzegovina 1-1; 2026-06-18 Qatar 6-0; 2026-06-24 Switzerland 1-2</t>
  </si>
  <si>
    <t>2026-05-31 Finland 4-0; 2026-06-06 United States 2-1; 2026-06-14 Curaçao 7-1; 2026-06-20 Ivory Coast 2-1; 2026-06-25 Ecuador 1-2</t>
  </si>
  <si>
    <t>2026-03-31 Morocco 1-2; 2026-06-05 Nicaragua 4-0; 2026-06-12 United States 1-4; 2026-06-19 Turkey 1-0; 2026-06-25 Australia 0-0</t>
  </si>
  <si>
    <t>2026-06-03 Algeria 0-1; 2026-06-08 Uzbekistan 2-1; 2026-06-14 Japan 2-2; 2026-06-20 Sweden 5-1; 2026-06-25 Tunisia 3-1</t>
  </si>
  <si>
    <t>2026-06-02 Madagascar 4-0; 2026-06-07 Norway 1-1; 2026-06-13 Brazil 1-1; 2026-06-19 Scotland 1-0; 2026-06-24 Haiti 4-2</t>
  </si>
  <si>
    <t>2026-05-31 Panama 6-2; 2026-06-06 Egypt 2-1; 2026-06-13 Morocco 1-1; 2026-06-19 Haiti 3-0; 2026-06-24 Scotland 3-0</t>
  </si>
  <si>
    <t>2026-03-31 England 1-0; 2026-05-31 Iceland 1-0; 2026-06-14 Netherlands 2-2; 2026-06-20 Tunisia 4-0; 2026-06-25 Sweden 1-1</t>
  </si>
  <si>
    <t>2026-06-04 Ivory Coast 1-2; 2026-06-08 Northern Ireland 3-1; 2026-06-16 Senegal 3-1; 2026-06-22 Iraq 3-0; 2026-06-26 Norway 4-1</t>
  </si>
  <si>
    <t>2026-06-01 Norway 1-3; 2026-06-04 Greece 2-2; 2026-06-14 Tunisia 5-1; 2026-06-20 Netherlands 1-5; 2026-06-25 Japan 1-1</t>
  </si>
  <si>
    <t>2026-03-31 Scotland 1-0; 2026-06-04 France 2-1; 2026-06-14 Ecuador 1-0; 2026-06-20 Germany 1-2; 2026-06-25 Curaçao 2-0</t>
  </si>
  <si>
    <t>2026-06-01 Sweden 3-1; 2026-06-07 Morocco 1-1; 2026-06-16 Iraq 4-1; 2026-06-22 Senegal 3-2; 2026-06-26 France 1-4</t>
  </si>
  <si>
    <t>2026-05-30 Australia 1-0; 2026-06-04 Serbia 5-1; 2026-06-11 South Africa 2-0; 2026-06-18 South Korea 1-0; 2026-06-24 Czech Republic 3-0</t>
  </si>
  <si>
    <t>2026-05-30 Saudi Arabia 2-1; 2026-06-07 Guatemala 3-0; 2026-06-14 Ivory Coast 0-1; 2026-06-20 Curaçao 0-0; 2026-06-25 Germany 2-1</t>
  </si>
  <si>
    <t>2026-06-06 New Zealand 1-0; 2026-06-10 Costa Rica 3-0; 2026-06-17 Croatia 4-2; 2026-06-23 Ghana 0-0; 2026-06-27 Panama 2-0</t>
  </si>
  <si>
    <t>2026-06-03 Denmark 0-0; 2026-06-09 Chile 1-2; 2026-06-17 Portugal 1-1; 2026-06-23 Colombia 0-1; 2026-06-27 Uzbekistan 3-1</t>
  </si>
  <si>
    <t>2026-05-31 Senegal 3-2; 2026-06-06 Germany 1-2; 2026-06-12 Paraguay 4-1; 2026-06-19 Australia 2-0; 2026-06-25 Turkey 2-3</t>
  </si>
  <si>
    <t>2026-05-29 North Macedonia 0-0; 2026-06-06 Panama 1-1; 2026-06-12 Canada 1-1; 2026-06-18 Switzerland 1-4; 2026-06-24 Qatar 3-1</t>
  </si>
  <si>
    <t>2026-06-02 Croatia 2-0; 2026-06-06 Tunisia 5-0; 2026-06-15 Egypt 1-1; 2026-06-21 Iran 0-0; 2026-06-26 New Zealand 5-1</t>
  </si>
  <si>
    <t>2026-05-31 United States 2-3; 2026-06-09 Saudi Arabia 0-0; 2026-06-16 France 1-3; 2026-06-22 Norway 2-3; 2026-06-26 Iraq 5-0</t>
  </si>
  <si>
    <t>2026-06-06 Chile 2-1; 2026-06-10 Nigeria 2-1; 2026-06-17 DR Congo 1-1; 2026-06-23 Uzbekistan 5-0; 2026-06-27 Colombia 0-0</t>
  </si>
  <si>
    <t>2026-06-02 Belgium 0-2; 2026-06-07 Slovenia 2-1; 2026-06-17 England 2-4; 2026-06-23 Panama 1-0; 2026-06-27 Ghana 2-1</t>
  </si>
  <si>
    <t>2026-06-04 Iraq 1-1; 2026-06-08 Peru 3-1; 2026-06-15 Cape Verde 0-0; 2026-06-21 Saudi Arabia 4-0; 2026-06-26 Uruguay 1-0</t>
  </si>
  <si>
    <t>2026-03-31 South Korea 1-0; 2026-06-01 Tunisia 1-0; 2026-06-16 Jordan 3-1; 2026-06-22 Argentina 0-2; 2026-06-27 Algeria 3-3</t>
  </si>
  <si>
    <t>2026-05-31 Jordan 4-1; 2026-06-06 Australia 1-1; 2026-06-13 Qatar 1-1; 2026-06-18 Bosnia and Herzegovina 4-1; 2026-06-24 Canada 2-1</t>
  </si>
  <si>
    <t>2026-06-03 Netherlands 1-0; 2026-06-10 Bolivia 4-0; 2026-06-16 Argentina 0-3; 2026-06-22 Jordan 2-1; 2026-06-27 Austria 3-3</t>
  </si>
  <si>
    <t>2026-06-06 Honduras 2-0; 2026-06-09 Iceland 3-0; 2026-06-16 Algeria 3-0; 2026-06-22 Austria 2-0; 2026-06-27 Jordan 3-1</t>
  </si>
  <si>
    <t>2026-05-31 Serbia 3-0; 2026-06-06 Bermuda 0-3; 2026-06-15 Spain 0-0; 2026-06-21 Uruguay 2-2; 2026-06-26 Saudi Arabia 0-0</t>
  </si>
  <si>
    <t>2026-06-01 Costa Rica 3-1; 2026-06-07 Jordan 2-0; 2026-06-17 Uzbekistan 3-1; 2026-06-23 DR Congo 1-0; 2026-06-27 Portugal 0-0</t>
  </si>
  <si>
    <t>2026-05-22 Mexico 0-2; 2026-06-02 Wales 1-1; 2026-06-17 Panama 1-0; 2026-06-23 England 0-0; 2026-06-27 Croatia 1-2</t>
  </si>
  <si>
    <t>2026-05-30 Mexico 0-1; 2026-06-06 Switzerland 1-1; 2026-06-13 Turkey 2-0; 2026-06-19 United States 0-2; 2026-06-25 Paraguay 0-0</t>
  </si>
  <si>
    <t>2026-05-28 Russia 1-0; 2026-06-06 Brazil 1-2; 2026-06-15 Belgium 1-1; 2026-06-21 New Zealand 3-1; 2026-06-26 Iran 1-1</t>
  </si>
  <si>
    <t>2026-06-05 Nicaragua 4-0; 2026-06-12 United States 1-4; 2026-06-19 Turkey 1-0; 2026-06-25 Australia 0-0; 2026-06-29 Germany 1-1</t>
  </si>
  <si>
    <t>2026-06-08 Northern Ireland 3-1; 2026-06-16 Senegal 3-1; 2026-06-22 Iraq 3-0; 2026-06-26 Norway 4-1; 2026-06-30 Sweden 3-0</t>
  </si>
  <si>
    <t>2026-06-05 Republic of Ireland 1-1; 2026-06-12 Bosnia and Herzegovina 1-1; 2026-06-18 Qatar 6-0; 2026-06-24 Switzerland 1-2; 2026-06-28 South Africa 1-0</t>
  </si>
  <si>
    <t>2026-06-07 Norway 1-1; 2026-06-13 Brazil 1-1; 2026-06-19 Scotland 1-0; 2026-06-24 Haiti 4-2; 2026-06-29 Netherlands 1-1</t>
  </si>
  <si>
    <t>2026-06-06 Egypt 2-1; 2026-06-13 Morocco 1-1; 2026-06-19 Haiti 3-0; 2026-06-24 Scotland 3-0; 2026-06-29 Japan 2-1</t>
  </si>
  <si>
    <t>2026-06-07 Morocco 1-1; 2026-06-16 Iraq 4-1; 2026-06-22 Senegal 3-2; 2026-06-26 France 1-4; 2026-06-30 Ivory Coast 2-1</t>
  </si>
  <si>
    <t>2026-06-04 Serbia 5-1; 2026-06-11 South Africa 2-0; 2026-06-18 South Korea 1-0; 2026-06-24 Czech Republic 3-0; 2026-06-30 Ecuador 2-0</t>
  </si>
  <si>
    <t>2026-06-10 Costa Rica 3-0; 2026-06-17 Croatia 4-2; 2026-06-23 Ghana 0-0; 2026-06-27 Panama 2-0; 2026-07-01 DR Congo 2-1</t>
  </si>
  <si>
    <t>2026-06-10 Nigeria 2-1; 2026-06-17 DR Congo 1-1; 2026-06-23 Uzbekistan 5-0; 2026-06-27 Colombia 0-0; 2026-07-02 Croatia 2-1</t>
  </si>
  <si>
    <t>2026-06-08 Peru 3-1; 2026-06-15 Cape Verde 0-0; 2026-06-21 Saudi Arabia 4-0; 2026-06-26 Uruguay 1-0; 2026-07-02 Austria 3-0</t>
  </si>
  <si>
    <t>2026-06-06 Germany 1-2; 2026-06-12 Paraguay 4-1; 2026-06-19 Australia 2-0; 2026-06-25 Turkey 2-3; 2026-07-01 Bosnia and Herzegovina 2-0</t>
  </si>
  <si>
    <t>2026-06-06 Tunisia 5-0; 2026-06-15 Egypt 1-1; 2026-06-21 Iran 0-0; 2026-06-26 New Zealand 5-1; 2026-07-01 Senegal 3-2</t>
  </si>
  <si>
    <t>2026-06-09 Iceland 3-0; 2026-06-16 Algeria 3-0; 2026-06-22 Austria 2-0; 2026-06-27 Jordan 3-1; 2026-07-03 Cape Verde 3-2</t>
  </si>
  <si>
    <t>2026-06-06 Brazil 1-2; 2026-06-15 Belgium 1-1; 2026-06-21 New Zealand 3-1; 2026-06-26 Iran 1-1; 2026-07-03 Australia 1-1</t>
  </si>
  <si>
    <t>2026-06-06 Australia 1-1; 2026-06-13 Qatar 1-1; 2026-06-18 Bosnia and Herzegovina 4-1; 2026-06-24 Canada 2-1; 2026-07-02 Algeria 2-0</t>
  </si>
  <si>
    <t>2026-06-07 Jordan 2-0; 2026-06-17 Uzbekistan 3-1; 2026-06-23 DR Congo 1-0; 2026-06-27 Portugal 0-0; 2026-07-03 Ghana 1-0</t>
  </si>
  <si>
    <t>2026-06-16 Senegal 3-1; 2026-06-22 Iraq 3-0; 2026-06-26 Norway 4-1; 2026-06-30 Sweden 3-0; 2026-07-04 Paraguay 1-0</t>
  </si>
  <si>
    <t>2026-06-13 Brazil 1-1; 2026-06-19 Scotland 1-0; 2026-06-24 Haiti 4-2; 2026-06-29 Netherlands 1-1; 2026-07-04 Canada 3-0</t>
  </si>
  <si>
    <t>2026-06-15 Cape Verde 0-0; 2026-06-21 Saudi Arabia 4-0; 2026-06-26 Uruguay 1-0; 2026-07-02 Austria 3-0; 2026-07-06 Portugal 1-0</t>
  </si>
  <si>
    <t>2026-06-15 Egypt 1-1; 2026-06-21 Iran 0-0; 2026-06-26 New Zealand 5-1; 2026-07-01 Senegal 3-2; 2026-07-06 United States 4-1</t>
  </si>
  <si>
    <t>2026-06-16 Iraq 4-1; 2026-06-22 Senegal 3-2; 2026-06-26 France 1-4; 2026-06-30 Ivory Coast 2-1; 2026-07-05 Brazil 2-1</t>
  </si>
  <si>
    <t>2026-06-17 Croatia 4-2; 2026-06-23 Ghana 0-0; 2026-06-27 Panama 2-0; 2026-07-01 DR Congo 2-1; 2026-07-05 Mexico 3-2</t>
  </si>
  <si>
    <t>2026-06-16 Algeria 3-0; 2026-06-22 Austria 2-0; 2026-06-27 Jordan 3-1; 2026-07-03 Cape Verde 3-2; 2026-07-07 Egypt 3-2</t>
  </si>
  <si>
    <t>2026-06-13 Qatar 1-1; 2026-06-18 Bosnia and Herzegovina 4-1; 2026-06-24 Canada 2-1; 2026-07-02 Algeria 2-0; 2026-07-07 Colombia 0-0</t>
  </si>
  <si>
    <t>2026-06-22 Iraq 3-0; 2026-06-26 Norway 4-1; 2026-06-30 Sweden 3-0; 2026-07-04 Paraguay 1-0; 2026-07-09 Morocco 2-0</t>
  </si>
  <si>
    <t>2026-06-21 Saudi Arabia 4-0; 2026-06-26 Uruguay 1-0; 2026-07-02 Austria 3-0; 2026-07-06 Portugal 1-0; 2026-07-10 Belgium 2-1</t>
  </si>
  <si>
    <t>2026-06-23 Ghana 0-0; 2026-06-27 Panama 2-0; 2026-07-01 DR Congo 2-1; 2026-07-05 Mexico 3-2; 2026-07-11 Norway 2-1</t>
  </si>
  <si>
    <t>2026-06-22 Austria 2-0; 2026-06-27 Jordan 3-1; 2026-07-03 Cape Verde 3-2; 2026-07-07 Egypt 3-2; 2026-07-11 Switzerland 3-1</t>
  </si>
  <si>
    <t>2026-06-26 Norway 4-1; 2026-06-30 Sweden 3-0; 2026-07-04 Paraguay 1-0; 2026-07-09 Morocco 2-0; 2026-07-14 Spain 0-2</t>
  </si>
  <si>
    <t>2026-06-27 Panama 2-0; 2026-07-01 DR Congo 2-1; 2026-07-05 Mexico 3-2; 2026-07-11 Norway 2-1; 2026-07-15 Argentina 1-2</t>
  </si>
  <si>
    <t>2026-06-26 Uruguay 1-0; 2026-07-02 Austria 3-0; 2026-07-06 Portugal 1-0; 2026-07-10 Belgium 2-1; 2026-07-14 France 2-0</t>
  </si>
  <si>
    <t>2026-06-27 Jordan 3-1; 2026-07-03 Cape Verde 3-2; 2026-07-07 Egypt 3-2; 2026-07-11 Switzerland 3-1; 2026-07-15 England 2-1</t>
  </si>
  <si>
    <t>Method notes (X4 and X6 only):</t>
  </si>
  <si>
    <t>Source: martj42/international_results (github.com/martj42/international_results) - all senior men's internationals through Oct 2026; shootout goals excluded, extra-time goals included.</t>
  </si>
  <si>
    <t>Window: each team's 5 most recent completed matches strictly before kickoff date, any competition, current match excluded; tournament matches already played count for later rounds.</t>
  </si>
  <si>
    <t>X4 = avg goals conceded (A, prev 5) - avg goals conceded (B, prev 5). Negative favours Team A. X6 = clean-sheet rate (A) - clean-sheet rate (B); clean sheet = 0 goals conceded. Positive favours Team A.</t>
  </si>
  <si>
    <t>Master columns J and L link to this sheet (J = X4, L = X6). No other master columns were changed.</t>
  </si>
  <si>
    <t>FINAL MASTER DATASET — MERGE AUDIT</t>
  </si>
  <si>
    <t>Variable</t>
  </si>
  <si>
    <t>Master column</t>
  </si>
  <si>
    <t>Value count</t>
  </si>
  <si>
    <t>Data source</t>
  </si>
  <si>
    <t>X1 – FIFA ranking difference</t>
  </si>
  <si>
    <t>Teammate FIFA/Elo inputs (existing X1_X2_Inputs)</t>
  </si>
  <si>
    <t>X2 – Elo rating difference</t>
  </si>
  <si>
    <t>X3 – Last-5 goals scored difference</t>
  </si>
  <si>
    <t>X3/X5 teammate workbook (X3_X5_Detail)</t>
  </si>
  <si>
    <t>X4 – Last-5 goals conceded difference</t>
  </si>
  <si>
    <t>Suraj workbook (X4_X6_Audit)</t>
  </si>
  <si>
    <t>X5 – Last-5 win-rate difference</t>
  </si>
  <si>
    <t>X6 – Last-5 clean-sheet-rate difference</t>
  </si>
  <si>
    <t>X7 – Rest-days difference</t>
  </si>
  <si>
    <t>M</t>
  </si>
  <si>
    <t>Previously completed X7/X8 master</t>
  </si>
  <si>
    <t>X8 – Last-5 opponent strength difference</t>
  </si>
  <si>
    <t>N</t>
  </si>
  <si>
    <t>Previously completed X7/X8 master (Match 29 corrected)</t>
  </si>
  <si>
    <t>Merged match rows</t>
  </si>
  <si>
    <t>Unique match IDs</t>
  </si>
  <si>
    <t>Historical X3–X6 values reconciled</t>
  </si>
  <si>
    <t>Historical match evidence rows</t>
  </si>
  <si>
    <t>REVIEW NOTES</t>
  </si>
  <si>
    <t>All 104 match IDs, match dates, Team A/B ordering, recorded scores and other fixed columns matched across source workbooks.</t>
  </si>
  <si>
    <t>X3 and X5 calculations match the 1,040 team-history observations in Last5_Evidence.</t>
  </si>
  <si>
    <t>X1 and X2 use the original teammate-provided FIFA and Elo inputs, accepted by the group. The source values and calculations were not changed during this update.</t>
  </si>
  <si>
    <t>X1 and X2 use the previously supplied teammate values. Seven one-point opening Elo discrepancies remain flagged in X1_X2_Inputs; investigate before final submission.</t>
  </si>
  <si>
    <t>X8 Match ID 29 uses corrected opponent-strength value -43.60. Remaining historical source-review qualifications are unchanged.</t>
  </si>
  <si>
    <t>Collection status 'Complete' indicates all eight explanatory variables are populated. It does not certify every third-party historical input.</t>
  </si>
  <si>
    <t>X1/X2 are formulas linked to X1_X2_Inputs; X3–X6 were imported as calculated numeric values from teammates; X7/X8 were preserved.</t>
  </si>
  <si>
    <t>The current match's goals and goal difference are outcome/target columns, not predictor columns for the regression.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</si>
</sst>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sz val="11"/>
      <color rgb="FF334155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F7F9FC"/>
      </patternFill>
    </fill>
    <fill>
      <patternFill patternType="solid">
        <fgColor rgb="FFEAF2F8"/>
      </patternFill>
    </fill>
    <fill>
      <patternFill patternType="solid">
        <fgColor rgb="FFE8F6F3"/>
      </patternFill>
    </fill>
    <fill>
      <patternFill patternType="solid">
        <fgColor rgb="FFFCF3CF"/>
      </patternFill>
    </fill>
    <fill>
      <patternFill patternType="solid">
        <fgColor rgb="FFF5EEF8"/>
      </patternFill>
    </fill>
    <fill>
      <patternFill patternType="solid">
        <fgColor rgb="FFFDEDEC"/>
      </patternFill>
    </fill>
    <fill>
      <patternFill patternType="solid">
        <fgColor rgb="FF16324F"/>
      </patternFill>
    </fill>
    <fill>
      <patternFill patternType="solid">
        <fgColor rgb="FF133B5C"/>
      </patternFill>
    </fill>
    <fill>
      <patternFill patternType="solid">
        <fgColor rgb="FF2A658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2" fontId="0" fillId="4" borderId="0" xfId="0" applyNumberFormat="1" applyFill="1" applyAlignment="1">
      <alignment vertical="center" wrapText="1"/>
    </xf>
    <xf numFmtId="2" fontId="0" fillId="5" borderId="0" xfId="0" applyNumberFormat="1" applyFill="1" applyAlignment="1">
      <alignment vertical="center" wrapText="1"/>
    </xf>
    <xf numFmtId="2" fontId="0" fillId="6" borderId="0" xfId="0" applyNumberFormat="1" applyFill="1" applyAlignment="1">
      <alignment vertical="center" wrapText="1"/>
    </xf>
    <xf numFmtId="1" fontId="0" fillId="7" borderId="0" xfId="0" applyNumberForma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" fontId="0" fillId="6" borderId="0" xfId="0" applyNumberFormat="1" applyFill="1" applyAlignment="1">
      <alignment vertical="center" wrapText="1"/>
    </xf>
    <xf numFmtId="1" fontId="0" fillId="3" borderId="0" xfId="0" applyNumberFormat="1" applyFill="1" applyAlignment="1">
      <alignment vertical="center" wrapText="1"/>
    </xf>
    <xf numFmtId="0" fontId="1" fillId="8" borderId="0" xfId="0" applyFont="1" applyFill="1"/>
    <xf numFmtId="0" fontId="1" fillId="8" borderId="0" xfId="0" applyFont="1" applyFill="1" applyAlignment="1">
      <alignment vertical="center"/>
    </xf>
    <xf numFmtId="164" fontId="0" fillId="0" borderId="0" xfId="0" applyNumberFormat="1"/>
    <xf numFmtId="1" fontId="0" fillId="0" borderId="0" xfId="0" applyNumberFormat="1"/>
    <xf numFmtId="0" fontId="1" fillId="9" borderId="0" xfId="0" applyFont="1" applyFill="1" applyAlignment="1">
      <alignment vertical="center"/>
    </xf>
    <xf numFmtId="2" fontId="0" fillId="0" borderId="0" xfId="0" applyNumberFormat="1"/>
    <xf numFmtId="164" fontId="1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 wrapText="1"/>
    </xf>
    <xf numFmtId="0" fontId="1" fillId="10" borderId="0" xfId="0" applyFont="1" applyFill="1"/>
    <xf numFmtId="0" fontId="4" fillId="11" borderId="0" xfId="0" applyFont="1" applyFill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9" borderId="0" xfId="0" applyFont="1" applyFill="1" applyAlignment="1">
      <alignment vertical="center"/>
    </xf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MatchesTable" displayName="MasterMatchesTable" ref="A1:R105" totalsRowShown="0">
  <tableColumns count="18">
    <tableColumn id="1" xr3:uid="{00000000-0010-0000-0000-000001000000}" name="match_id"/>
    <tableColumn id="2" xr3:uid="{00000000-0010-0000-0000-000002000000}" name="match_date"/>
    <tableColumn id="3" xr3:uid="{00000000-0010-0000-0000-000003000000}" name="stage"/>
    <tableColumn id="4" xr3:uid="{00000000-0010-0000-0000-000004000000}" name="group"/>
    <tableColumn id="5" xr3:uid="{00000000-0010-0000-0000-000005000000}" name="team_a"/>
    <tableColumn id="6" xr3:uid="{00000000-0010-0000-0000-000006000000}" name="team_b"/>
    <tableColumn id="7" xr3:uid="{00000000-0010-0000-0000-000007000000}" name="fifa_rank_diff"/>
    <tableColumn id="8" xr3:uid="{00000000-0010-0000-0000-000008000000}" name="elo_rating_diff"/>
    <tableColumn id="9" xr3:uid="{00000000-0010-0000-0000-000009000000}" name="last5_avg_goals_scored_diff"/>
    <tableColumn id="10" xr3:uid="{00000000-0010-0000-0000-00000A000000}" name="last5_avg_goals_conceded_diff"/>
    <tableColumn id="11" xr3:uid="{00000000-0010-0000-0000-00000B000000}" name="last5_win_rate_diff"/>
    <tableColumn id="12" xr3:uid="{00000000-0010-0000-0000-00000C000000}" name="last5_clean_sheet_rate_diff"/>
    <tableColumn id="13" xr3:uid="{00000000-0010-0000-0000-00000D000000}" name="rest_days_diff"/>
    <tableColumn id="14" xr3:uid="{00000000-0010-0000-0000-00000E000000}" name="last5_opponent_strength_diff"/>
    <tableColumn id="15" xr3:uid="{00000000-0010-0000-0000-00000F000000}" name="team_a_goals"/>
    <tableColumn id="16" xr3:uid="{00000000-0010-0000-0000-000010000000}" name="team_b_goals"/>
    <tableColumn id="17" xr3:uid="{00000000-0010-0000-0000-000011000000}" name="result_note"/>
    <tableColumn id="18" xr3:uid="{00000000-0010-0000-0000-000012000000}" name="goal_dif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ataRulesTable" displayName="DataRulesTable" ref="A1:B12" totalsRowShown="0">
  <tableColumns count="2">
    <tableColumn id="1" xr3:uid="{00000000-0010-0000-0100-000001000000}" name="Rule"/>
    <tableColumn id="2" xr3:uid="{00000000-0010-0000-0100-000002000000}" name="Agreed 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tabSelected="1" zoomScaleNormal="100" zoomScaleSheetLayoutView="100" workbookViewId="0">
      <selection activeCell="S1" sqref="S1:S1048576"/>
    </sheetView>
  </sheetViews>
  <sheetFormatPr defaultColWidth="8.875" defaultRowHeight="14.25"/>
  <cols>
    <col min="1" max="1" width="10" customWidth="1"/>
    <col min="2" max="2" width="13" customWidth="1"/>
    <col min="3" max="3" width="17" customWidth="1"/>
    <col min="4" max="4" width="9" customWidth="1"/>
    <col min="5" max="6" width="22" customWidth="1"/>
    <col min="7" max="8" width="18" customWidth="1"/>
    <col min="9" max="10" width="25" customWidth="1"/>
    <col min="11" max="12" width="22" customWidth="1"/>
    <col min="13" max="14" width="19" customWidth="1"/>
    <col min="15" max="17" width="14" customWidth="1"/>
    <col min="18" max="18" width="15" customWidth="1"/>
  </cols>
  <sheetData>
    <row r="1" spans="1:18" ht="67.7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</row>
    <row r="2" spans="1:18">
      <c r="A2" s="1">
        <v>1</v>
      </c>
      <c r="B2" s="2">
        <v>46184</v>
      </c>
      <c r="C2" s="1" t="s">
        <v>18</v>
      </c>
      <c r="D2" s="1" t="s">
        <v>19</v>
      </c>
      <c r="E2" s="1" t="s">
        <v>20</v>
      </c>
      <c r="F2" s="1" t="s">
        <v>21</v>
      </c>
      <c r="G2" s="10">
        <f>X1_X2_Inputs!E2-X1_X2_Inputs!F2</f>
        <v>-46</v>
      </c>
      <c r="H2" s="10">
        <f>X1_X2_Inputs!G2-X1_X2_Inputs!H2</f>
        <v>358</v>
      </c>
      <c r="I2" s="3">
        <v>1</v>
      </c>
      <c r="J2" s="3">
        <v>-0.6</v>
      </c>
      <c r="K2" s="4">
        <v>0.4</v>
      </c>
      <c r="L2" s="4">
        <v>0.2</v>
      </c>
      <c r="M2" s="9">
        <v>2</v>
      </c>
      <c r="N2" s="5">
        <v>-34</v>
      </c>
      <c r="O2" s="6">
        <v>2</v>
      </c>
      <c r="P2" s="6">
        <v>0</v>
      </c>
      <c r="Q2" s="6"/>
      <c r="R2" s="6">
        <f t="shared" ref="R2:R33" si="0">O2-P2</f>
        <v>2</v>
      </c>
    </row>
    <row r="3" spans="1:18">
      <c r="A3" s="1">
        <v>2</v>
      </c>
      <c r="B3" s="2">
        <v>46184</v>
      </c>
      <c r="C3" s="1" t="s">
        <v>18</v>
      </c>
      <c r="D3" s="1" t="s">
        <v>19</v>
      </c>
      <c r="E3" s="1" t="s">
        <v>22</v>
      </c>
      <c r="F3" s="1" t="s">
        <v>23</v>
      </c>
      <c r="G3" s="10">
        <f>X1_X2_Inputs!E3-X1_X2_Inputs!F3</f>
        <v>-15</v>
      </c>
      <c r="H3" s="10">
        <f>X1_X2_Inputs!G3-X1_X2_Inputs!H3</f>
        <v>18</v>
      </c>
      <c r="I3" s="3">
        <v>-2</v>
      </c>
      <c r="J3" s="3">
        <v>-0.2</v>
      </c>
      <c r="K3" s="4">
        <v>0</v>
      </c>
      <c r="L3" s="4">
        <v>0.4</v>
      </c>
      <c r="M3" s="9">
        <v>1</v>
      </c>
      <c r="N3" s="5">
        <v>-23.6</v>
      </c>
      <c r="O3" s="6">
        <v>2</v>
      </c>
      <c r="P3" s="6">
        <v>1</v>
      </c>
      <c r="Q3" s="6"/>
      <c r="R3" s="6">
        <f t="shared" si="0"/>
        <v>1</v>
      </c>
    </row>
    <row r="4" spans="1:18">
      <c r="A4" s="1">
        <v>3</v>
      </c>
      <c r="B4" s="2">
        <v>46185</v>
      </c>
      <c r="C4" s="1" t="s">
        <v>18</v>
      </c>
      <c r="D4" s="1" t="s">
        <v>24</v>
      </c>
      <c r="E4" s="1" t="s">
        <v>25</v>
      </c>
      <c r="F4" s="1" t="s">
        <v>26</v>
      </c>
      <c r="G4" s="10">
        <f>X1_X2_Inputs!E4-X1_X2_Inputs!F4</f>
        <v>-34</v>
      </c>
      <c r="H4" s="10">
        <f>X1_X2_Inputs!G4-X1_X2_Inputs!H4</f>
        <v>193</v>
      </c>
      <c r="I4" s="3">
        <v>0.6</v>
      </c>
      <c r="J4" s="3">
        <v>-0.2</v>
      </c>
      <c r="K4" s="4">
        <v>0.4</v>
      </c>
      <c r="L4" s="4">
        <v>0.4</v>
      </c>
      <c r="M4" s="9">
        <v>1</v>
      </c>
      <c r="N4" s="5">
        <v>30.4</v>
      </c>
      <c r="O4" s="6">
        <v>1</v>
      </c>
      <c r="P4" s="6">
        <v>1</v>
      </c>
      <c r="Q4" s="6"/>
      <c r="R4" s="6">
        <f t="shared" si="0"/>
        <v>0</v>
      </c>
    </row>
    <row r="5" spans="1:18">
      <c r="A5" s="1">
        <v>4</v>
      </c>
      <c r="B5" s="2">
        <v>46185</v>
      </c>
      <c r="C5" s="1" t="s">
        <v>18</v>
      </c>
      <c r="D5" s="1" t="s">
        <v>27</v>
      </c>
      <c r="E5" s="1" t="s">
        <v>28</v>
      </c>
      <c r="F5" s="1" t="s">
        <v>29</v>
      </c>
      <c r="G5" s="10">
        <f>X1_X2_Inputs!E5-X1_X2_Inputs!F5</f>
        <v>-24</v>
      </c>
      <c r="H5" s="10">
        <f>X1_X2_Inputs!G5-X1_X2_Inputs!H5</f>
        <v>-108</v>
      </c>
      <c r="I5" s="3">
        <v>0.4</v>
      </c>
      <c r="J5" s="3">
        <v>1.4</v>
      </c>
      <c r="K5" s="4">
        <v>-0.2</v>
      </c>
      <c r="L5" s="4">
        <v>-0.4</v>
      </c>
      <c r="M5" s="9">
        <v>-1</v>
      </c>
      <c r="N5" s="5">
        <v>-32.200000000000003</v>
      </c>
      <c r="O5" s="6">
        <v>4</v>
      </c>
      <c r="P5" s="6">
        <v>1</v>
      </c>
      <c r="Q5" s="6"/>
      <c r="R5" s="6">
        <f t="shared" si="0"/>
        <v>3</v>
      </c>
    </row>
    <row r="6" spans="1:18">
      <c r="A6" s="1">
        <v>5</v>
      </c>
      <c r="B6" s="2">
        <v>46186</v>
      </c>
      <c r="C6" s="1" t="s">
        <v>18</v>
      </c>
      <c r="D6" s="1" t="s">
        <v>30</v>
      </c>
      <c r="E6" s="1" t="s">
        <v>31</v>
      </c>
      <c r="F6" s="1" t="s">
        <v>32</v>
      </c>
      <c r="G6" s="10">
        <f>X1_X2_Inputs!E6-X1_X2_Inputs!F6</f>
        <v>41</v>
      </c>
      <c r="H6" s="10">
        <f>X1_X2_Inputs!G6-X1_X2_Inputs!H6</f>
        <v>-234</v>
      </c>
      <c r="I6" s="3">
        <v>-0.8</v>
      </c>
      <c r="J6" s="3">
        <v>-0.2</v>
      </c>
      <c r="K6" s="4">
        <v>-0.2</v>
      </c>
      <c r="L6" s="4">
        <v>0.2</v>
      </c>
      <c r="M6" s="9">
        <v>1</v>
      </c>
      <c r="N6" s="5">
        <v>31.6</v>
      </c>
      <c r="O6" s="6">
        <v>0</v>
      </c>
      <c r="P6" s="6">
        <v>1</v>
      </c>
      <c r="Q6" s="6"/>
      <c r="R6" s="6">
        <f t="shared" si="0"/>
        <v>-1</v>
      </c>
    </row>
    <row r="7" spans="1:18">
      <c r="A7" s="1">
        <v>6</v>
      </c>
      <c r="B7" s="2">
        <v>46186</v>
      </c>
      <c r="C7" s="1" t="s">
        <v>18</v>
      </c>
      <c r="D7" s="1" t="s">
        <v>27</v>
      </c>
      <c r="E7" s="1" t="s">
        <v>33</v>
      </c>
      <c r="F7" s="1" t="s">
        <v>34</v>
      </c>
      <c r="G7" s="10">
        <f>X1_X2_Inputs!E7-X1_X2_Inputs!F7</f>
        <v>5</v>
      </c>
      <c r="H7" s="10">
        <f>X1_X2_Inputs!G7-X1_X2_Inputs!H7</f>
        <v>-134</v>
      </c>
      <c r="I7" s="3">
        <v>-0.6</v>
      </c>
      <c r="J7" s="3">
        <v>0.6</v>
      </c>
      <c r="K7" s="4">
        <v>-0.4</v>
      </c>
      <c r="L7" s="4">
        <v>-0.4</v>
      </c>
      <c r="M7" s="9">
        <v>0</v>
      </c>
      <c r="N7" s="5">
        <v>-14.4</v>
      </c>
      <c r="O7" s="6">
        <v>2</v>
      </c>
      <c r="P7" s="6">
        <v>0</v>
      </c>
      <c r="Q7" s="6"/>
      <c r="R7" s="6">
        <f t="shared" si="0"/>
        <v>2</v>
      </c>
    </row>
    <row r="8" spans="1:18">
      <c r="A8" s="1">
        <v>7</v>
      </c>
      <c r="B8" s="2">
        <v>46186</v>
      </c>
      <c r="C8" s="1" t="s">
        <v>18</v>
      </c>
      <c r="D8" s="1" t="s">
        <v>30</v>
      </c>
      <c r="E8" s="1" t="s">
        <v>35</v>
      </c>
      <c r="F8" s="1" t="s">
        <v>36</v>
      </c>
      <c r="G8" s="10">
        <f>X1_X2_Inputs!E8-X1_X2_Inputs!F8</f>
        <v>-1</v>
      </c>
      <c r="H8" s="10">
        <f>X1_X2_Inputs!G8-X1_X2_Inputs!H8</f>
        <v>164</v>
      </c>
      <c r="I8" s="3">
        <v>0</v>
      </c>
      <c r="J8" s="3">
        <v>0.8</v>
      </c>
      <c r="K8" s="4">
        <v>0</v>
      </c>
      <c r="L8" s="4">
        <v>-0.4</v>
      </c>
      <c r="M8" s="9">
        <v>1</v>
      </c>
      <c r="N8" s="5">
        <v>-44.2</v>
      </c>
      <c r="O8" s="6">
        <v>1</v>
      </c>
      <c r="P8" s="6">
        <v>1</v>
      </c>
      <c r="Q8" s="6"/>
      <c r="R8" s="6">
        <f t="shared" si="0"/>
        <v>0</v>
      </c>
    </row>
    <row r="9" spans="1:18">
      <c r="A9" s="1">
        <v>8</v>
      </c>
      <c r="B9" s="2">
        <v>46186</v>
      </c>
      <c r="C9" s="1" t="s">
        <v>18</v>
      </c>
      <c r="D9" s="1" t="s">
        <v>24</v>
      </c>
      <c r="E9" s="1" t="s">
        <v>37</v>
      </c>
      <c r="F9" s="1" t="s">
        <v>38</v>
      </c>
      <c r="G9" s="10">
        <f>X1_X2_Inputs!E9-X1_X2_Inputs!F9</f>
        <v>37</v>
      </c>
      <c r="H9" s="10">
        <f>X1_X2_Inputs!G9-X1_X2_Inputs!H9</f>
        <v>-470</v>
      </c>
      <c r="I9" s="3">
        <v>-1.6</v>
      </c>
      <c r="J9" s="3">
        <v>-0.2</v>
      </c>
      <c r="K9" s="4">
        <v>-0.2</v>
      </c>
      <c r="L9" s="4">
        <v>0</v>
      </c>
      <c r="M9" s="9">
        <v>0</v>
      </c>
      <c r="N9" s="5">
        <v>33.200000000000003</v>
      </c>
      <c r="O9" s="6">
        <v>1</v>
      </c>
      <c r="P9" s="6">
        <v>1</v>
      </c>
      <c r="Q9" s="6"/>
      <c r="R9" s="6">
        <f t="shared" si="0"/>
        <v>0</v>
      </c>
    </row>
    <row r="10" spans="1:18">
      <c r="A10" s="1">
        <v>9</v>
      </c>
      <c r="B10" s="2">
        <v>46187</v>
      </c>
      <c r="C10" s="1" t="s">
        <v>18</v>
      </c>
      <c r="D10" s="1" t="s">
        <v>39</v>
      </c>
      <c r="E10" s="1" t="s">
        <v>40</v>
      </c>
      <c r="F10" s="1" t="s">
        <v>41</v>
      </c>
      <c r="G10" s="10">
        <f>X1_X2_Inputs!E10-X1_X2_Inputs!F10</f>
        <v>10</v>
      </c>
      <c r="H10" s="10">
        <f>X1_X2_Inputs!G10-X1_X2_Inputs!H10</f>
        <v>-243</v>
      </c>
      <c r="I10" s="3">
        <v>0.6</v>
      </c>
      <c r="J10" s="3">
        <v>0.2</v>
      </c>
      <c r="K10" s="4">
        <v>0.2</v>
      </c>
      <c r="L10" s="4">
        <v>0.2</v>
      </c>
      <c r="M10" s="9">
        <v>3</v>
      </c>
      <c r="N10" s="5">
        <v>-19.8</v>
      </c>
      <c r="O10" s="6">
        <v>1</v>
      </c>
      <c r="P10" s="6">
        <v>0</v>
      </c>
      <c r="Q10" s="6"/>
      <c r="R10" s="6">
        <f t="shared" si="0"/>
        <v>1</v>
      </c>
    </row>
    <row r="11" spans="1:18">
      <c r="A11" s="1">
        <v>10</v>
      </c>
      <c r="B11" s="2">
        <v>46187</v>
      </c>
      <c r="C11" s="1" t="s">
        <v>18</v>
      </c>
      <c r="D11" s="1" t="s">
        <v>39</v>
      </c>
      <c r="E11" s="1" t="s">
        <v>42</v>
      </c>
      <c r="F11" s="1" t="s">
        <v>43</v>
      </c>
      <c r="G11" s="10">
        <f>X1_X2_Inputs!E11-X1_X2_Inputs!F11</f>
        <v>-72</v>
      </c>
      <c r="H11" s="10">
        <f>X1_X2_Inputs!G11-X1_X2_Inputs!H11</f>
        <v>498</v>
      </c>
      <c r="I11" s="3">
        <v>2.4</v>
      </c>
      <c r="J11" s="3">
        <v>-1.2</v>
      </c>
      <c r="K11" s="4">
        <v>0.8</v>
      </c>
      <c r="L11" s="4">
        <v>0</v>
      </c>
      <c r="M11" s="9">
        <v>0</v>
      </c>
      <c r="N11" s="5">
        <v>-39</v>
      </c>
      <c r="O11" s="6">
        <v>7</v>
      </c>
      <c r="P11" s="6">
        <v>1</v>
      </c>
      <c r="Q11" s="6"/>
      <c r="R11" s="6">
        <f t="shared" si="0"/>
        <v>6</v>
      </c>
    </row>
    <row r="12" spans="1:18">
      <c r="A12" s="1">
        <v>11</v>
      </c>
      <c r="B12" s="2">
        <v>46187</v>
      </c>
      <c r="C12" s="1" t="s">
        <v>18</v>
      </c>
      <c r="D12" s="1" t="s">
        <v>44</v>
      </c>
      <c r="E12" s="1" t="s">
        <v>45</v>
      </c>
      <c r="F12" s="1" t="s">
        <v>46</v>
      </c>
      <c r="G12" s="10">
        <f>X1_X2_Inputs!E12-X1_X2_Inputs!F12</f>
        <v>-10</v>
      </c>
      <c r="H12" s="10">
        <f>X1_X2_Inputs!G12-X1_X2_Inputs!H12</f>
        <v>42</v>
      </c>
      <c r="I12" s="3">
        <v>0.2</v>
      </c>
      <c r="J12" s="3">
        <v>0.8</v>
      </c>
      <c r="K12" s="4">
        <v>-0.4</v>
      </c>
      <c r="L12" s="4">
        <v>-0.8</v>
      </c>
      <c r="M12" s="9">
        <v>-8</v>
      </c>
      <c r="N12" s="5">
        <v>2.6</v>
      </c>
      <c r="O12" s="6">
        <v>2</v>
      </c>
      <c r="P12" s="6">
        <v>2</v>
      </c>
      <c r="Q12" s="6"/>
      <c r="R12" s="6">
        <f t="shared" si="0"/>
        <v>0</v>
      </c>
    </row>
    <row r="13" spans="1:18">
      <c r="A13" s="1">
        <v>12</v>
      </c>
      <c r="B13" s="2">
        <v>46187</v>
      </c>
      <c r="C13" s="1" t="s">
        <v>18</v>
      </c>
      <c r="D13" s="1" t="s">
        <v>44</v>
      </c>
      <c r="E13" s="1" t="s">
        <v>47</v>
      </c>
      <c r="F13" s="1" t="s">
        <v>48</v>
      </c>
      <c r="G13" s="10">
        <f>X1_X2_Inputs!E13-X1_X2_Inputs!F13</f>
        <v>-7</v>
      </c>
      <c r="H13" s="10">
        <f>X1_X2_Inputs!G13-X1_X2_Inputs!H13</f>
        <v>84</v>
      </c>
      <c r="I13" s="3">
        <v>1.6</v>
      </c>
      <c r="J13" s="3">
        <v>0.4</v>
      </c>
      <c r="K13" s="4">
        <v>0.2</v>
      </c>
      <c r="L13" s="4">
        <v>-0.4</v>
      </c>
      <c r="M13" s="9">
        <v>2</v>
      </c>
      <c r="N13" s="5">
        <v>-1</v>
      </c>
      <c r="O13" s="6">
        <v>5</v>
      </c>
      <c r="P13" s="6">
        <v>1</v>
      </c>
      <c r="Q13" s="6"/>
      <c r="R13" s="6">
        <f t="shared" si="0"/>
        <v>4</v>
      </c>
    </row>
    <row r="14" spans="1:18">
      <c r="A14" s="1">
        <v>13</v>
      </c>
      <c r="B14" s="2">
        <v>46188</v>
      </c>
      <c r="C14" s="1" t="s">
        <v>18</v>
      </c>
      <c r="D14" s="1" t="s">
        <v>49</v>
      </c>
      <c r="E14" s="1" t="s">
        <v>50</v>
      </c>
      <c r="F14" s="1" t="s">
        <v>51</v>
      </c>
      <c r="G14" s="10">
        <f>X1_X2_Inputs!E14-X1_X2_Inputs!F14</f>
        <v>45</v>
      </c>
      <c r="H14" s="10">
        <f>X1_X2_Inputs!G14-X1_X2_Inputs!H14</f>
        <v>-316</v>
      </c>
      <c r="I14" s="3">
        <v>0.2</v>
      </c>
      <c r="J14" s="3">
        <v>0.2</v>
      </c>
      <c r="K14" s="4">
        <v>0</v>
      </c>
      <c r="L14" s="4">
        <v>0</v>
      </c>
      <c r="M14" s="9">
        <v>-70</v>
      </c>
      <c r="N14" s="5">
        <v>29.4</v>
      </c>
      <c r="O14" s="6">
        <v>1</v>
      </c>
      <c r="P14" s="6">
        <v>1</v>
      </c>
      <c r="Q14" s="6"/>
      <c r="R14" s="6">
        <f t="shared" si="0"/>
        <v>0</v>
      </c>
    </row>
    <row r="15" spans="1:18">
      <c r="A15" s="1">
        <v>14</v>
      </c>
      <c r="B15" s="2">
        <v>46188</v>
      </c>
      <c r="C15" s="1" t="s">
        <v>18</v>
      </c>
      <c r="D15" s="1" t="s">
        <v>49</v>
      </c>
      <c r="E15" s="1" t="s">
        <v>52</v>
      </c>
      <c r="F15" s="1" t="s">
        <v>53</v>
      </c>
      <c r="G15" s="10">
        <f>X1_X2_Inputs!E15-X1_X2_Inputs!F15</f>
        <v>-65</v>
      </c>
      <c r="H15" s="10">
        <f>X1_X2_Inputs!G15-X1_X2_Inputs!H15</f>
        <v>579</v>
      </c>
      <c r="I15" s="3">
        <v>0.4</v>
      </c>
      <c r="J15" s="3">
        <v>-1</v>
      </c>
      <c r="K15" s="4">
        <v>0.2</v>
      </c>
      <c r="L15" s="4">
        <v>0.2</v>
      </c>
      <c r="M15" s="9">
        <v>-2</v>
      </c>
      <c r="N15" s="5">
        <v>-32.200000000000003</v>
      </c>
      <c r="O15" s="6">
        <v>0</v>
      </c>
      <c r="P15" s="6">
        <v>0</v>
      </c>
      <c r="Q15" s="6"/>
      <c r="R15" s="6">
        <f t="shared" si="0"/>
        <v>0</v>
      </c>
    </row>
    <row r="16" spans="1:18">
      <c r="A16" s="1">
        <v>15</v>
      </c>
      <c r="B16" s="2">
        <v>46188</v>
      </c>
      <c r="C16" s="1" t="s">
        <v>18</v>
      </c>
      <c r="D16" s="1" t="s">
        <v>54</v>
      </c>
      <c r="E16" s="1" t="s">
        <v>55</v>
      </c>
      <c r="F16" s="1" t="s">
        <v>56</v>
      </c>
      <c r="G16" s="10">
        <f>X1_X2_Inputs!E16-X1_X2_Inputs!F16</f>
        <v>-65</v>
      </c>
      <c r="H16" s="10">
        <f>X1_X2_Inputs!G16-X1_X2_Inputs!H16</f>
        <v>210</v>
      </c>
      <c r="I16" s="3">
        <v>1.4</v>
      </c>
      <c r="J16" s="3">
        <v>-1.4</v>
      </c>
      <c r="K16" s="4">
        <v>0.4</v>
      </c>
      <c r="L16" s="4">
        <v>0.6</v>
      </c>
      <c r="M16" s="9">
        <v>2</v>
      </c>
      <c r="N16" s="5">
        <v>12</v>
      </c>
      <c r="O16" s="6">
        <v>2</v>
      </c>
      <c r="P16" s="6">
        <v>2</v>
      </c>
      <c r="Q16" s="6"/>
      <c r="R16" s="6">
        <f t="shared" si="0"/>
        <v>0</v>
      </c>
    </row>
    <row r="17" spans="1:18">
      <c r="A17" s="1">
        <v>16</v>
      </c>
      <c r="B17" s="2">
        <v>46188</v>
      </c>
      <c r="C17" s="1" t="s">
        <v>18</v>
      </c>
      <c r="D17" s="1" t="s">
        <v>54</v>
      </c>
      <c r="E17" s="1" t="s">
        <v>57</v>
      </c>
      <c r="F17" s="1" t="s">
        <v>58</v>
      </c>
      <c r="G17" s="10">
        <f>X1_X2_Inputs!E17-X1_X2_Inputs!F17</f>
        <v>-20</v>
      </c>
      <c r="H17" s="10">
        <f>X1_X2_Inputs!G17-X1_X2_Inputs!H17</f>
        <v>198</v>
      </c>
      <c r="I17" s="3">
        <v>2.8</v>
      </c>
      <c r="J17" s="3">
        <v>0.2</v>
      </c>
      <c r="K17" s="4">
        <v>0.4</v>
      </c>
      <c r="L17" s="4">
        <v>-0.2</v>
      </c>
      <c r="M17" s="9">
        <v>0</v>
      </c>
      <c r="N17" s="5">
        <v>30</v>
      </c>
      <c r="O17" s="6">
        <v>1</v>
      </c>
      <c r="P17" s="6">
        <v>1</v>
      </c>
      <c r="Q17" s="6"/>
      <c r="R17" s="6">
        <f t="shared" si="0"/>
        <v>0</v>
      </c>
    </row>
    <row r="18" spans="1:18">
      <c r="A18" s="1">
        <v>17</v>
      </c>
      <c r="B18" s="2">
        <v>46189</v>
      </c>
      <c r="C18" s="1" t="s">
        <v>18</v>
      </c>
      <c r="D18" s="1" t="s">
        <v>59</v>
      </c>
      <c r="E18" s="1" t="s">
        <v>60</v>
      </c>
      <c r="F18" s="1" t="s">
        <v>61</v>
      </c>
      <c r="G18" s="10">
        <f>X1_X2_Inputs!E18-X1_X2_Inputs!F18</f>
        <v>-12</v>
      </c>
      <c r="H18" s="10">
        <f>X1_X2_Inputs!G18-X1_X2_Inputs!H18</f>
        <v>203</v>
      </c>
      <c r="I18" s="3">
        <v>1</v>
      </c>
      <c r="J18" s="3">
        <v>-0.2</v>
      </c>
      <c r="K18" s="4">
        <v>0.4</v>
      </c>
      <c r="L18" s="4">
        <v>-0.4</v>
      </c>
      <c r="M18" s="9">
        <v>1</v>
      </c>
      <c r="N18" s="5">
        <v>-2.2000000000000002</v>
      </c>
      <c r="O18" s="6">
        <v>3</v>
      </c>
      <c r="P18" s="6">
        <v>1</v>
      </c>
      <c r="Q18" s="6"/>
      <c r="R18" s="6">
        <f t="shared" si="0"/>
        <v>2</v>
      </c>
    </row>
    <row r="19" spans="1:18">
      <c r="A19" s="1">
        <v>18</v>
      </c>
      <c r="B19" s="2">
        <v>46189</v>
      </c>
      <c r="C19" s="1" t="s">
        <v>18</v>
      </c>
      <c r="D19" s="1" t="s">
        <v>59</v>
      </c>
      <c r="E19" s="1" t="s">
        <v>62</v>
      </c>
      <c r="F19" s="1" t="s">
        <v>63</v>
      </c>
      <c r="G19" s="10">
        <f>X1_X2_Inputs!E19-X1_X2_Inputs!F19</f>
        <v>26</v>
      </c>
      <c r="H19" s="10">
        <f>X1_X2_Inputs!G19-X1_X2_Inputs!H19</f>
        <v>-307</v>
      </c>
      <c r="I19" s="3">
        <v>-1</v>
      </c>
      <c r="J19" s="3">
        <v>0</v>
      </c>
      <c r="K19" s="4">
        <v>0</v>
      </c>
      <c r="L19" s="4">
        <v>0</v>
      </c>
      <c r="M19" s="9">
        <v>-2</v>
      </c>
      <c r="N19" s="5">
        <v>57.2</v>
      </c>
      <c r="O19" s="6">
        <v>1</v>
      </c>
      <c r="P19" s="6">
        <v>4</v>
      </c>
      <c r="Q19" s="6"/>
      <c r="R19" s="6">
        <f t="shared" si="0"/>
        <v>-3</v>
      </c>
    </row>
    <row r="20" spans="1:18">
      <c r="A20" s="1">
        <v>19</v>
      </c>
      <c r="B20" s="2">
        <v>46189</v>
      </c>
      <c r="C20" s="1" t="s">
        <v>18</v>
      </c>
      <c r="D20" s="1" t="s">
        <v>64</v>
      </c>
      <c r="E20" s="1" t="s">
        <v>65</v>
      </c>
      <c r="F20" s="1" t="s">
        <v>66</v>
      </c>
      <c r="G20" s="10">
        <f>X1_X2_Inputs!E20-X1_X2_Inputs!F20</f>
        <v>-27</v>
      </c>
      <c r="H20" s="10">
        <f>X1_X2_Inputs!G20-X1_X2_Inputs!H20</f>
        <v>343</v>
      </c>
      <c r="I20" s="3">
        <v>0.4</v>
      </c>
      <c r="J20" s="3">
        <v>-0.2</v>
      </c>
      <c r="K20" s="4">
        <v>0.4</v>
      </c>
      <c r="L20" s="4">
        <v>0</v>
      </c>
      <c r="M20" s="9">
        <v>1</v>
      </c>
      <c r="N20" s="5">
        <v>40.799999999999997</v>
      </c>
      <c r="O20" s="6">
        <v>3</v>
      </c>
      <c r="P20" s="6">
        <v>0</v>
      </c>
      <c r="Q20" s="6"/>
      <c r="R20" s="6">
        <f t="shared" si="0"/>
        <v>3</v>
      </c>
    </row>
    <row r="21" spans="1:18">
      <c r="A21" s="1">
        <v>20</v>
      </c>
      <c r="B21" s="2">
        <v>46189</v>
      </c>
      <c r="C21" s="1" t="s">
        <v>18</v>
      </c>
      <c r="D21" s="1" t="s">
        <v>64</v>
      </c>
      <c r="E21" s="1" t="s">
        <v>67</v>
      </c>
      <c r="F21" s="1" t="s">
        <v>68</v>
      </c>
      <c r="G21" s="10">
        <f>X1_X2_Inputs!E21-X1_X2_Inputs!F21</f>
        <v>-39</v>
      </c>
      <c r="H21" s="10">
        <f>X1_X2_Inputs!G21-X1_X2_Inputs!H21</f>
        <v>150</v>
      </c>
      <c r="I21" s="3">
        <v>0.6</v>
      </c>
      <c r="J21" s="3">
        <v>-2.2000000000000002</v>
      </c>
      <c r="K21" s="4">
        <v>0.8</v>
      </c>
      <c r="L21" s="4">
        <v>0.6</v>
      </c>
      <c r="M21" s="9">
        <v>6</v>
      </c>
      <c r="N21" s="5">
        <v>43.6</v>
      </c>
      <c r="O21" s="6">
        <v>3</v>
      </c>
      <c r="P21" s="6">
        <v>1</v>
      </c>
      <c r="Q21" s="6"/>
      <c r="R21" s="6">
        <f t="shared" si="0"/>
        <v>2</v>
      </c>
    </row>
    <row r="22" spans="1:18">
      <c r="A22" s="1">
        <v>21</v>
      </c>
      <c r="B22" s="2">
        <v>46190</v>
      </c>
      <c r="C22" s="1" t="s">
        <v>18</v>
      </c>
      <c r="D22" s="1" t="s">
        <v>69</v>
      </c>
      <c r="E22" s="1" t="s">
        <v>70</v>
      </c>
      <c r="F22" s="1" t="s">
        <v>71</v>
      </c>
      <c r="G22" s="10">
        <f>X1_X2_Inputs!E22-X1_X2_Inputs!F22</f>
        <v>39</v>
      </c>
      <c r="H22" s="10">
        <f>X1_X2_Inputs!G22-X1_X2_Inputs!H22</f>
        <v>-220</v>
      </c>
      <c r="I22" s="3">
        <v>-1.4</v>
      </c>
      <c r="J22" s="3">
        <v>0</v>
      </c>
      <c r="K22" s="4">
        <v>-0.4</v>
      </c>
      <c r="L22" s="4">
        <v>0</v>
      </c>
      <c r="M22" s="9">
        <v>4</v>
      </c>
      <c r="N22" s="5">
        <v>-45.2</v>
      </c>
      <c r="O22" s="6">
        <v>1</v>
      </c>
      <c r="P22" s="6">
        <v>0</v>
      </c>
      <c r="Q22" s="6"/>
      <c r="R22" s="6">
        <f t="shared" si="0"/>
        <v>1</v>
      </c>
    </row>
    <row r="23" spans="1:18">
      <c r="A23" s="1">
        <v>22</v>
      </c>
      <c r="B23" s="2">
        <v>46190</v>
      </c>
      <c r="C23" s="1" t="s">
        <v>18</v>
      </c>
      <c r="D23" s="1" t="s">
        <v>69</v>
      </c>
      <c r="E23" s="1" t="s">
        <v>72</v>
      </c>
      <c r="F23" s="1" t="s">
        <v>73</v>
      </c>
      <c r="G23" s="10">
        <f>X1_X2_Inputs!E23-X1_X2_Inputs!F23</f>
        <v>-7</v>
      </c>
      <c r="H23" s="10">
        <f>X1_X2_Inputs!G23-X1_X2_Inputs!H23</f>
        <v>112</v>
      </c>
      <c r="I23" s="3">
        <v>-0.2</v>
      </c>
      <c r="J23" s="3">
        <v>-1.4</v>
      </c>
      <c r="K23" s="4">
        <v>0</v>
      </c>
      <c r="L23" s="4">
        <v>0.6</v>
      </c>
      <c r="M23" s="9">
        <v>-3</v>
      </c>
      <c r="N23" s="5">
        <v>13.2</v>
      </c>
      <c r="O23" s="6">
        <v>4</v>
      </c>
      <c r="P23" s="6">
        <v>2</v>
      </c>
      <c r="Q23" s="6"/>
      <c r="R23" s="6">
        <f t="shared" si="0"/>
        <v>2</v>
      </c>
    </row>
    <row r="24" spans="1:18">
      <c r="A24" s="1">
        <v>23</v>
      </c>
      <c r="B24" s="2">
        <v>46190</v>
      </c>
      <c r="C24" s="1" t="s">
        <v>18</v>
      </c>
      <c r="D24" s="1" t="s">
        <v>74</v>
      </c>
      <c r="E24" s="1" t="s">
        <v>75</v>
      </c>
      <c r="F24" s="1" t="s">
        <v>76</v>
      </c>
      <c r="G24" s="10">
        <f>X1_X2_Inputs!E24-X1_X2_Inputs!F24</f>
        <v>-41</v>
      </c>
      <c r="H24" s="10">
        <f>X1_X2_Inputs!G24-X1_X2_Inputs!H24</f>
        <v>337</v>
      </c>
      <c r="I24" s="3">
        <v>2.2000000000000002</v>
      </c>
      <c r="J24" s="3">
        <v>0</v>
      </c>
      <c r="K24" s="4">
        <v>0.4</v>
      </c>
      <c r="L24" s="4">
        <v>-0.2</v>
      </c>
      <c r="M24" s="9">
        <v>-1</v>
      </c>
      <c r="N24" s="5">
        <v>-26.4</v>
      </c>
      <c r="O24" s="6">
        <v>1</v>
      </c>
      <c r="P24" s="6">
        <v>1</v>
      </c>
      <c r="Q24" s="6"/>
      <c r="R24" s="6">
        <f t="shared" si="0"/>
        <v>0</v>
      </c>
    </row>
    <row r="25" spans="1:18">
      <c r="A25" s="1">
        <v>24</v>
      </c>
      <c r="B25" s="2">
        <v>46190</v>
      </c>
      <c r="C25" s="1" t="s">
        <v>18</v>
      </c>
      <c r="D25" s="1" t="s">
        <v>74</v>
      </c>
      <c r="E25" s="1" t="s">
        <v>77</v>
      </c>
      <c r="F25" s="1" t="s">
        <v>78</v>
      </c>
      <c r="G25" s="10">
        <f>X1_X2_Inputs!E25-X1_X2_Inputs!F25</f>
        <v>37</v>
      </c>
      <c r="H25" s="10">
        <f>X1_X2_Inputs!G25-X1_X2_Inputs!H25</f>
        <v>-268</v>
      </c>
      <c r="I25" s="3">
        <v>-0.8</v>
      </c>
      <c r="J25" s="3">
        <v>0.2</v>
      </c>
      <c r="K25" s="4">
        <v>-0.4</v>
      </c>
      <c r="L25" s="4">
        <v>-0.2</v>
      </c>
      <c r="M25" s="9">
        <v>-1</v>
      </c>
      <c r="N25" s="5">
        <v>8.1999999999999993</v>
      </c>
      <c r="O25" s="6">
        <v>1</v>
      </c>
      <c r="P25" s="6">
        <v>3</v>
      </c>
      <c r="Q25" s="6"/>
      <c r="R25" s="6">
        <f t="shared" si="0"/>
        <v>-2</v>
      </c>
    </row>
    <row r="26" spans="1:18">
      <c r="A26" s="1">
        <v>25</v>
      </c>
      <c r="B26" s="2">
        <v>46191</v>
      </c>
      <c r="C26" s="1" t="s">
        <v>18</v>
      </c>
      <c r="D26" s="1" t="s">
        <v>19</v>
      </c>
      <c r="E26" s="1" t="s">
        <v>23</v>
      </c>
      <c r="F26" s="1" t="s">
        <v>21</v>
      </c>
      <c r="G26" s="10">
        <f>X1_X2_Inputs!E26-X1_X2_Inputs!F26</f>
        <v>-20</v>
      </c>
      <c r="H26" s="10">
        <f>X1_X2_Inputs!G26-X1_X2_Inputs!H26</f>
        <v>201</v>
      </c>
      <c r="I26" s="3">
        <v>1.8</v>
      </c>
      <c r="J26" s="3">
        <v>0.6</v>
      </c>
      <c r="K26" s="4">
        <v>0.2</v>
      </c>
      <c r="L26" s="4">
        <v>-0.4</v>
      </c>
      <c r="M26" s="9">
        <v>0</v>
      </c>
      <c r="N26" s="5">
        <v>-0.6</v>
      </c>
      <c r="O26" s="6">
        <v>1</v>
      </c>
      <c r="P26" s="6">
        <v>1</v>
      </c>
      <c r="Q26" s="6"/>
      <c r="R26" s="6">
        <f t="shared" si="0"/>
        <v>0</v>
      </c>
    </row>
    <row r="27" spans="1:18">
      <c r="A27" s="1">
        <v>26</v>
      </c>
      <c r="B27" s="2">
        <v>46191</v>
      </c>
      <c r="C27" s="1" t="s">
        <v>18</v>
      </c>
      <c r="D27" s="1" t="s">
        <v>24</v>
      </c>
      <c r="E27" s="1" t="s">
        <v>38</v>
      </c>
      <c r="F27" s="1" t="s">
        <v>26</v>
      </c>
      <c r="G27" s="10">
        <f>X1_X2_Inputs!E27-X1_X2_Inputs!F27</f>
        <v>-45</v>
      </c>
      <c r="H27" s="10">
        <f>X1_X2_Inputs!G27-X1_X2_Inputs!H27</f>
        <v>249</v>
      </c>
      <c r="I27" s="3">
        <v>1</v>
      </c>
      <c r="J27" s="3">
        <v>0.6</v>
      </c>
      <c r="K27" s="4">
        <v>0.2</v>
      </c>
      <c r="L27" s="4">
        <v>0</v>
      </c>
      <c r="M27" s="9">
        <v>-1</v>
      </c>
      <c r="N27" s="5">
        <v>2</v>
      </c>
      <c r="O27" s="6">
        <v>4</v>
      </c>
      <c r="P27" s="6">
        <v>1</v>
      </c>
      <c r="Q27" s="6"/>
      <c r="R27" s="6">
        <f t="shared" si="0"/>
        <v>3</v>
      </c>
    </row>
    <row r="28" spans="1:18">
      <c r="A28" s="1">
        <v>27</v>
      </c>
      <c r="B28" s="2">
        <v>46191</v>
      </c>
      <c r="C28" s="1" t="s">
        <v>18</v>
      </c>
      <c r="D28" s="1" t="s">
        <v>24</v>
      </c>
      <c r="E28" s="1" t="s">
        <v>25</v>
      </c>
      <c r="F28" s="1" t="s">
        <v>37</v>
      </c>
      <c r="G28" s="10">
        <f>X1_X2_Inputs!E28-X1_X2_Inputs!F28</f>
        <v>-26</v>
      </c>
      <c r="H28" s="10">
        <f>X1_X2_Inputs!G28-X1_X2_Inputs!H28</f>
        <v>320</v>
      </c>
      <c r="I28" s="3">
        <v>0.8</v>
      </c>
      <c r="J28" s="3">
        <v>-0.4</v>
      </c>
      <c r="K28" s="4">
        <v>0.2</v>
      </c>
      <c r="L28" s="4">
        <v>0.2</v>
      </c>
      <c r="M28" s="9">
        <v>1</v>
      </c>
      <c r="N28" s="5">
        <v>-2.2000000000000002</v>
      </c>
      <c r="O28" s="6">
        <v>6</v>
      </c>
      <c r="P28" s="6">
        <v>0</v>
      </c>
      <c r="Q28" s="6"/>
      <c r="R28" s="6">
        <f t="shared" si="0"/>
        <v>6</v>
      </c>
    </row>
    <row r="29" spans="1:18">
      <c r="A29" s="1">
        <v>28</v>
      </c>
      <c r="B29" s="2">
        <v>46191</v>
      </c>
      <c r="C29" s="1" t="s">
        <v>18</v>
      </c>
      <c r="D29" s="1" t="s">
        <v>19</v>
      </c>
      <c r="E29" s="1" t="s">
        <v>20</v>
      </c>
      <c r="F29" s="1" t="s">
        <v>22</v>
      </c>
      <c r="G29" s="10">
        <f>X1_X2_Inputs!E29-X1_X2_Inputs!F29</f>
        <v>-11</v>
      </c>
      <c r="H29" s="10">
        <f>X1_X2_Inputs!G29-X1_X2_Inputs!H29</f>
        <v>95</v>
      </c>
      <c r="I29" s="3">
        <v>0.6</v>
      </c>
      <c r="J29" s="3">
        <v>-0.8</v>
      </c>
      <c r="K29" s="4">
        <v>0.2</v>
      </c>
      <c r="L29" s="4">
        <v>0.2</v>
      </c>
      <c r="M29" s="9">
        <v>0</v>
      </c>
      <c r="N29" s="5">
        <v>-18.8</v>
      </c>
      <c r="O29" s="6">
        <v>1</v>
      </c>
      <c r="P29" s="6">
        <v>0</v>
      </c>
      <c r="Q29" s="6"/>
      <c r="R29" s="6">
        <f t="shared" si="0"/>
        <v>1</v>
      </c>
    </row>
    <row r="30" spans="1:18">
      <c r="A30" s="1">
        <v>29</v>
      </c>
      <c r="B30" s="2">
        <v>46192</v>
      </c>
      <c r="C30" s="1" t="s">
        <v>18</v>
      </c>
      <c r="D30" s="1" t="s">
        <v>30</v>
      </c>
      <c r="E30" s="1" t="s">
        <v>35</v>
      </c>
      <c r="F30" s="1" t="s">
        <v>31</v>
      </c>
      <c r="G30" s="10">
        <f>X1_X2_Inputs!E30-X1_X2_Inputs!F30</f>
        <v>-77</v>
      </c>
      <c r="H30" s="10">
        <f>X1_X2_Inputs!G30-X1_X2_Inputs!H30</f>
        <v>442</v>
      </c>
      <c r="I30" s="3">
        <v>1.4</v>
      </c>
      <c r="J30" s="3">
        <v>0.4</v>
      </c>
      <c r="K30" s="4">
        <v>0.4</v>
      </c>
      <c r="L30" s="4">
        <v>-0.2</v>
      </c>
      <c r="M30" s="9">
        <v>0</v>
      </c>
      <c r="N30" s="5">
        <v>-43.6</v>
      </c>
      <c r="O30" s="6">
        <v>3</v>
      </c>
      <c r="P30" s="6">
        <v>0</v>
      </c>
      <c r="Q30" s="6"/>
      <c r="R30" s="6">
        <f t="shared" si="0"/>
        <v>3</v>
      </c>
    </row>
    <row r="31" spans="1:18">
      <c r="A31" s="1">
        <v>30</v>
      </c>
      <c r="B31" s="2">
        <v>46192</v>
      </c>
      <c r="C31" s="1" t="s">
        <v>18</v>
      </c>
      <c r="D31" s="1" t="s">
        <v>30</v>
      </c>
      <c r="E31" s="1" t="s">
        <v>32</v>
      </c>
      <c r="F31" s="1" t="s">
        <v>36</v>
      </c>
      <c r="G31" s="10">
        <f>X1_X2_Inputs!E31-X1_X2_Inputs!F31</f>
        <v>35</v>
      </c>
      <c r="H31" s="10">
        <f>X1_X2_Inputs!G31-X1_X2_Inputs!H31</f>
        <v>-46</v>
      </c>
      <c r="I31" s="3">
        <v>-0.8</v>
      </c>
      <c r="J31" s="3">
        <v>0</v>
      </c>
      <c r="K31" s="4">
        <v>0</v>
      </c>
      <c r="L31" s="4">
        <v>0</v>
      </c>
      <c r="M31" s="9">
        <v>0</v>
      </c>
      <c r="N31" s="5">
        <v>-5.2</v>
      </c>
      <c r="O31" s="6">
        <v>0</v>
      </c>
      <c r="P31" s="6">
        <v>1</v>
      </c>
      <c r="Q31" s="6"/>
      <c r="R31" s="6">
        <f t="shared" si="0"/>
        <v>-1</v>
      </c>
    </row>
    <row r="32" spans="1:18">
      <c r="A32" s="1">
        <v>31</v>
      </c>
      <c r="B32" s="2">
        <v>46192</v>
      </c>
      <c r="C32" s="1" t="s">
        <v>18</v>
      </c>
      <c r="D32" s="1" t="s">
        <v>27</v>
      </c>
      <c r="E32" s="1" t="s">
        <v>34</v>
      </c>
      <c r="F32" s="1" t="s">
        <v>29</v>
      </c>
      <c r="G32" s="10">
        <f>X1_X2_Inputs!E32-X1_X2_Inputs!F32</f>
        <v>-19</v>
      </c>
      <c r="H32" s="10">
        <f>X1_X2_Inputs!G32-X1_X2_Inputs!H32</f>
        <v>69</v>
      </c>
      <c r="I32" s="3">
        <v>-0.2</v>
      </c>
      <c r="J32" s="3">
        <v>-0.8</v>
      </c>
      <c r="K32" s="4">
        <v>0.2</v>
      </c>
      <c r="L32" s="4">
        <v>0.2</v>
      </c>
      <c r="M32" s="9">
        <v>-1</v>
      </c>
      <c r="N32" s="5">
        <v>11</v>
      </c>
      <c r="O32" s="6">
        <v>0</v>
      </c>
      <c r="P32" s="6">
        <v>1</v>
      </c>
      <c r="Q32" s="6"/>
      <c r="R32" s="6">
        <f t="shared" si="0"/>
        <v>-1</v>
      </c>
    </row>
    <row r="33" spans="1:18">
      <c r="A33" s="1">
        <v>32</v>
      </c>
      <c r="B33" s="2">
        <v>46192</v>
      </c>
      <c r="C33" s="1" t="s">
        <v>18</v>
      </c>
      <c r="D33" s="1" t="s">
        <v>27</v>
      </c>
      <c r="E33" s="1" t="s">
        <v>28</v>
      </c>
      <c r="F33" s="1" t="s">
        <v>33</v>
      </c>
      <c r="G33" s="10">
        <f>X1_X2_Inputs!E33-X1_X2_Inputs!F33</f>
        <v>-10</v>
      </c>
      <c r="H33" s="10">
        <f>X1_X2_Inputs!G33-X1_X2_Inputs!H33</f>
        <v>-59</v>
      </c>
      <c r="I33" s="3">
        <v>0.2</v>
      </c>
      <c r="J33" s="3">
        <v>1.8</v>
      </c>
      <c r="K33" s="4">
        <v>-0.2</v>
      </c>
      <c r="L33" s="4">
        <v>-0.4</v>
      </c>
      <c r="M33" s="9">
        <v>1</v>
      </c>
      <c r="N33" s="5">
        <v>-20.399999999999999</v>
      </c>
      <c r="O33" s="6">
        <v>2</v>
      </c>
      <c r="P33" s="6">
        <v>0</v>
      </c>
      <c r="Q33" s="6"/>
      <c r="R33" s="6">
        <f t="shared" si="0"/>
        <v>2</v>
      </c>
    </row>
    <row r="34" spans="1:18">
      <c r="A34" s="1">
        <v>33</v>
      </c>
      <c r="B34" s="2">
        <v>46193</v>
      </c>
      <c r="C34" s="1" t="s">
        <v>18</v>
      </c>
      <c r="D34" s="1" t="s">
        <v>39</v>
      </c>
      <c r="E34" s="1" t="s">
        <v>42</v>
      </c>
      <c r="F34" s="1" t="s">
        <v>40</v>
      </c>
      <c r="G34" s="10">
        <f>X1_X2_Inputs!E34-X1_X2_Inputs!F34</f>
        <v>-23</v>
      </c>
      <c r="H34" s="10">
        <f>X1_X2_Inputs!G34-X1_X2_Inputs!H34</f>
        <v>196</v>
      </c>
      <c r="I34" s="3">
        <v>1.8</v>
      </c>
      <c r="J34" s="3">
        <v>0.4</v>
      </c>
      <c r="K34" s="4">
        <v>0.2</v>
      </c>
      <c r="L34" s="4">
        <v>-0.4</v>
      </c>
      <c r="M34" s="9">
        <v>0</v>
      </c>
      <c r="N34" s="5">
        <v>28.4</v>
      </c>
      <c r="O34" s="6">
        <v>2</v>
      </c>
      <c r="P34" s="6">
        <v>1</v>
      </c>
      <c r="Q34" s="6"/>
      <c r="R34" s="6">
        <f t="shared" ref="R34:R65" si="1">O34-P34</f>
        <v>1</v>
      </c>
    </row>
    <row r="35" spans="1:18">
      <c r="A35" s="1">
        <v>34</v>
      </c>
      <c r="B35" s="2">
        <v>46193</v>
      </c>
      <c r="C35" s="1" t="s">
        <v>18</v>
      </c>
      <c r="D35" s="1" t="s">
        <v>39</v>
      </c>
      <c r="E35" s="1" t="s">
        <v>41</v>
      </c>
      <c r="F35" s="1" t="s">
        <v>43</v>
      </c>
      <c r="G35" s="10">
        <f>X1_X2_Inputs!E35-X1_X2_Inputs!F35</f>
        <v>-59</v>
      </c>
      <c r="H35" s="10">
        <f>X1_X2_Inputs!G35-X1_X2_Inputs!H35</f>
        <v>463</v>
      </c>
      <c r="I35" s="3">
        <v>0</v>
      </c>
      <c r="J35" s="3">
        <v>-2.8</v>
      </c>
      <c r="K35" s="4">
        <v>0.2</v>
      </c>
      <c r="L35" s="4">
        <v>0</v>
      </c>
      <c r="M35" s="9">
        <v>0</v>
      </c>
      <c r="N35" s="5">
        <v>-31.4</v>
      </c>
      <c r="O35" s="6">
        <v>0</v>
      </c>
      <c r="P35" s="6">
        <v>0</v>
      </c>
      <c r="Q35" s="6"/>
      <c r="R35" s="6">
        <f t="shared" si="1"/>
        <v>0</v>
      </c>
    </row>
    <row r="36" spans="1:18">
      <c r="A36" s="1">
        <v>35</v>
      </c>
      <c r="B36" s="2">
        <v>46193</v>
      </c>
      <c r="C36" s="1" t="s">
        <v>18</v>
      </c>
      <c r="D36" s="1" t="s">
        <v>44</v>
      </c>
      <c r="E36" s="1" t="s">
        <v>45</v>
      </c>
      <c r="F36" s="1" t="s">
        <v>47</v>
      </c>
      <c r="G36" s="10">
        <f>X1_X2_Inputs!E36-X1_X2_Inputs!F36</f>
        <v>-30</v>
      </c>
      <c r="H36" s="10">
        <f>X1_X2_Inputs!G36-X1_X2_Inputs!H36</f>
        <v>189</v>
      </c>
      <c r="I36" s="3">
        <v>-1.4</v>
      </c>
      <c r="J36" s="3">
        <v>-0.6</v>
      </c>
      <c r="K36" s="4">
        <v>-0.2</v>
      </c>
      <c r="L36" s="4">
        <v>0</v>
      </c>
      <c r="M36" s="9">
        <v>0</v>
      </c>
      <c r="N36" s="5">
        <v>-7.2</v>
      </c>
      <c r="O36" s="6">
        <v>5</v>
      </c>
      <c r="P36" s="6">
        <v>1</v>
      </c>
      <c r="Q36" s="6"/>
      <c r="R36" s="6">
        <f t="shared" si="1"/>
        <v>4</v>
      </c>
    </row>
    <row r="37" spans="1:18">
      <c r="A37" s="1">
        <v>36</v>
      </c>
      <c r="B37" s="2">
        <v>46193</v>
      </c>
      <c r="C37" s="1" t="s">
        <v>18</v>
      </c>
      <c r="D37" s="1" t="s">
        <v>44</v>
      </c>
      <c r="E37" s="1" t="s">
        <v>48</v>
      </c>
      <c r="F37" s="1" t="s">
        <v>46</v>
      </c>
      <c r="G37" s="10">
        <f>X1_X2_Inputs!E37-X1_X2_Inputs!F37</f>
        <v>27</v>
      </c>
      <c r="H37" s="10">
        <f>X1_X2_Inputs!G37-X1_X2_Inputs!H37</f>
        <v>-325</v>
      </c>
      <c r="I37" s="3">
        <v>-1.2</v>
      </c>
      <c r="J37" s="3">
        <v>1.8</v>
      </c>
      <c r="K37" s="4">
        <v>-0.6</v>
      </c>
      <c r="L37" s="4">
        <v>-0.4</v>
      </c>
      <c r="M37" s="9">
        <v>0</v>
      </c>
      <c r="N37" s="5">
        <v>-3.6</v>
      </c>
      <c r="O37" s="6">
        <v>0</v>
      </c>
      <c r="P37" s="6">
        <v>4</v>
      </c>
      <c r="Q37" s="6"/>
      <c r="R37" s="6">
        <f t="shared" si="1"/>
        <v>-4</v>
      </c>
    </row>
    <row r="38" spans="1:18">
      <c r="A38" s="1">
        <v>37</v>
      </c>
      <c r="B38" s="2">
        <v>46194</v>
      </c>
      <c r="C38" s="1" t="s">
        <v>18</v>
      </c>
      <c r="D38" s="1" t="s">
        <v>49</v>
      </c>
      <c r="E38" s="1" t="s">
        <v>51</v>
      </c>
      <c r="F38" s="1" t="s">
        <v>53</v>
      </c>
      <c r="G38" s="10">
        <f>X1_X2_Inputs!E38-X1_X2_Inputs!F38</f>
        <v>-51</v>
      </c>
      <c r="H38" s="10">
        <f>X1_X2_Inputs!G38-X1_X2_Inputs!H38</f>
        <v>264</v>
      </c>
      <c r="I38" s="3">
        <v>-0.6</v>
      </c>
      <c r="J38" s="3">
        <v>-0.2</v>
      </c>
      <c r="K38" s="4">
        <v>-0.2</v>
      </c>
      <c r="L38" s="4">
        <v>0</v>
      </c>
      <c r="M38" s="9">
        <v>0</v>
      </c>
      <c r="N38" s="5">
        <v>-42.8</v>
      </c>
      <c r="O38" s="6">
        <v>2</v>
      </c>
      <c r="P38" s="6">
        <v>2</v>
      </c>
      <c r="Q38" s="6"/>
      <c r="R38" s="6">
        <f t="shared" si="1"/>
        <v>0</v>
      </c>
    </row>
    <row r="39" spans="1:18">
      <c r="A39" s="1">
        <v>38</v>
      </c>
      <c r="B39" s="2">
        <v>46194</v>
      </c>
      <c r="C39" s="1" t="s">
        <v>18</v>
      </c>
      <c r="D39" s="1" t="s">
        <v>49</v>
      </c>
      <c r="E39" s="1" t="s">
        <v>52</v>
      </c>
      <c r="F39" s="1" t="s">
        <v>50</v>
      </c>
      <c r="G39" s="10">
        <f>X1_X2_Inputs!E39-X1_X2_Inputs!F39</f>
        <v>-59</v>
      </c>
      <c r="H39" s="10">
        <f>X1_X2_Inputs!G39-X1_X2_Inputs!H39</f>
        <v>531</v>
      </c>
      <c r="I39" s="3">
        <v>0.2</v>
      </c>
      <c r="J39" s="3">
        <v>-0.6</v>
      </c>
      <c r="K39" s="4">
        <v>0.2</v>
      </c>
      <c r="L39" s="4">
        <v>0.2</v>
      </c>
      <c r="M39" s="9">
        <v>0</v>
      </c>
      <c r="N39" s="5">
        <v>-0.2</v>
      </c>
      <c r="O39" s="6">
        <v>4</v>
      </c>
      <c r="P39" s="6">
        <v>0</v>
      </c>
      <c r="Q39" s="6"/>
      <c r="R39" s="6">
        <f t="shared" si="1"/>
        <v>4</v>
      </c>
    </row>
    <row r="40" spans="1:18">
      <c r="A40" s="1">
        <v>39</v>
      </c>
      <c r="B40" s="2">
        <v>46194</v>
      </c>
      <c r="C40" s="1" t="s">
        <v>18</v>
      </c>
      <c r="D40" s="1" t="s">
        <v>54</v>
      </c>
      <c r="E40" s="1" t="s">
        <v>57</v>
      </c>
      <c r="F40" s="1" t="s">
        <v>55</v>
      </c>
      <c r="G40" s="10">
        <f>X1_X2_Inputs!E40-X1_X2_Inputs!F40</f>
        <v>-11</v>
      </c>
      <c r="H40" s="10">
        <f>X1_X2_Inputs!G40-X1_X2_Inputs!H40</f>
        <v>123</v>
      </c>
      <c r="I40" s="3">
        <v>0.2</v>
      </c>
      <c r="J40" s="3">
        <v>-0.2</v>
      </c>
      <c r="K40" s="4">
        <v>0</v>
      </c>
      <c r="L40" s="4">
        <v>0</v>
      </c>
      <c r="M40" s="9">
        <v>0</v>
      </c>
      <c r="N40" s="5">
        <v>-43</v>
      </c>
      <c r="O40" s="6">
        <v>0</v>
      </c>
      <c r="P40" s="6">
        <v>0</v>
      </c>
      <c r="Q40" s="6"/>
      <c r="R40" s="6">
        <f t="shared" si="1"/>
        <v>0</v>
      </c>
    </row>
    <row r="41" spans="1:18">
      <c r="A41" s="1">
        <v>40</v>
      </c>
      <c r="B41" s="2">
        <v>46194</v>
      </c>
      <c r="C41" s="1" t="s">
        <v>18</v>
      </c>
      <c r="D41" s="1" t="s">
        <v>54</v>
      </c>
      <c r="E41" s="1" t="s">
        <v>56</v>
      </c>
      <c r="F41" s="1" t="s">
        <v>58</v>
      </c>
      <c r="G41" s="10">
        <f>X1_X2_Inputs!E41-X1_X2_Inputs!F41</f>
        <v>56</v>
      </c>
      <c r="H41" s="10">
        <f>X1_X2_Inputs!G41-X1_X2_Inputs!H41</f>
        <v>-133</v>
      </c>
      <c r="I41" s="3">
        <v>-0.2</v>
      </c>
      <c r="J41" s="3">
        <v>1.4</v>
      </c>
      <c r="K41" s="4">
        <v>-0.2</v>
      </c>
      <c r="L41" s="4">
        <v>-0.6</v>
      </c>
      <c r="M41" s="9">
        <v>0</v>
      </c>
      <c r="N41" s="5">
        <v>24.8</v>
      </c>
      <c r="O41" s="6">
        <v>1</v>
      </c>
      <c r="P41" s="6">
        <v>3</v>
      </c>
      <c r="Q41" s="6"/>
      <c r="R41" s="6">
        <f t="shared" si="1"/>
        <v>-2</v>
      </c>
    </row>
    <row r="42" spans="1:18">
      <c r="A42" s="1">
        <v>41</v>
      </c>
      <c r="B42" s="2">
        <v>46195</v>
      </c>
      <c r="C42" s="1" t="s">
        <v>18</v>
      </c>
      <c r="D42" s="1" t="s">
        <v>59</v>
      </c>
      <c r="E42" s="1" t="s">
        <v>63</v>
      </c>
      <c r="F42" s="1" t="s">
        <v>61</v>
      </c>
      <c r="G42" s="10">
        <f>X1_X2_Inputs!E42-X1_X2_Inputs!F42</f>
        <v>16</v>
      </c>
      <c r="H42" s="10">
        <f>X1_X2_Inputs!G42-X1_X2_Inputs!H42</f>
        <v>90</v>
      </c>
      <c r="I42" s="3">
        <v>0.2</v>
      </c>
      <c r="J42" s="3">
        <v>-0.4</v>
      </c>
      <c r="K42" s="4">
        <v>0</v>
      </c>
      <c r="L42" s="4">
        <v>-0.2</v>
      </c>
      <c r="M42" s="9">
        <v>0</v>
      </c>
      <c r="N42" s="5">
        <v>-24.2</v>
      </c>
      <c r="O42" s="6">
        <v>3</v>
      </c>
      <c r="P42" s="6">
        <v>2</v>
      </c>
      <c r="Q42" s="6"/>
      <c r="R42" s="6">
        <f t="shared" si="1"/>
        <v>1</v>
      </c>
    </row>
    <row r="43" spans="1:18">
      <c r="A43" s="1">
        <v>42</v>
      </c>
      <c r="B43" s="2">
        <v>46195</v>
      </c>
      <c r="C43" s="1" t="s">
        <v>18</v>
      </c>
      <c r="D43" s="1" t="s">
        <v>59</v>
      </c>
      <c r="E43" s="1" t="s">
        <v>60</v>
      </c>
      <c r="F43" s="1" t="s">
        <v>62</v>
      </c>
      <c r="G43" s="10">
        <f>X1_X2_Inputs!E43-X1_X2_Inputs!F43</f>
        <v>-54</v>
      </c>
      <c r="H43" s="10">
        <f>X1_X2_Inputs!G43-X1_X2_Inputs!H43</f>
        <v>492</v>
      </c>
      <c r="I43" s="3">
        <v>1.4</v>
      </c>
      <c r="J43" s="3">
        <v>-0.4</v>
      </c>
      <c r="K43" s="4">
        <v>0.4</v>
      </c>
      <c r="L43" s="4">
        <v>-0.2</v>
      </c>
      <c r="M43" s="9">
        <v>0</v>
      </c>
      <c r="N43" s="5">
        <v>-38.6</v>
      </c>
      <c r="O43" s="6">
        <v>3</v>
      </c>
      <c r="P43" s="6">
        <v>0</v>
      </c>
      <c r="Q43" s="6"/>
      <c r="R43" s="6">
        <f t="shared" si="1"/>
        <v>3</v>
      </c>
    </row>
    <row r="44" spans="1:18">
      <c r="A44" s="1">
        <v>43</v>
      </c>
      <c r="B44" s="2">
        <v>46195</v>
      </c>
      <c r="C44" s="1" t="s">
        <v>18</v>
      </c>
      <c r="D44" s="1" t="s">
        <v>64</v>
      </c>
      <c r="E44" s="1" t="s">
        <v>65</v>
      </c>
      <c r="F44" s="1" t="s">
        <v>67</v>
      </c>
      <c r="G44" s="10">
        <f>X1_X2_Inputs!E44-X1_X2_Inputs!F44</f>
        <v>-23</v>
      </c>
      <c r="H44" s="10">
        <f>X1_X2_Inputs!G44-X1_X2_Inputs!H44</f>
        <v>271</v>
      </c>
      <c r="I44" s="3">
        <v>0.8</v>
      </c>
      <c r="J44" s="3">
        <v>-0.4</v>
      </c>
      <c r="K44" s="4">
        <v>0.2</v>
      </c>
      <c r="L44" s="4">
        <v>0.4</v>
      </c>
      <c r="M44" s="9">
        <v>0</v>
      </c>
      <c r="N44" s="5">
        <v>19.8</v>
      </c>
      <c r="O44" s="6">
        <v>2</v>
      </c>
      <c r="P44" s="6">
        <v>0</v>
      </c>
      <c r="Q44" s="6"/>
      <c r="R44" s="6">
        <f t="shared" si="1"/>
        <v>2</v>
      </c>
    </row>
    <row r="45" spans="1:18">
      <c r="A45" s="1">
        <v>44</v>
      </c>
      <c r="B45" s="2">
        <v>46195</v>
      </c>
      <c r="C45" s="1" t="s">
        <v>18</v>
      </c>
      <c r="D45" s="1" t="s">
        <v>64</v>
      </c>
      <c r="E45" s="1" t="s">
        <v>68</v>
      </c>
      <c r="F45" s="1" t="s">
        <v>66</v>
      </c>
      <c r="G45" s="10">
        <f>X1_X2_Inputs!E45-X1_X2_Inputs!F45</f>
        <v>35</v>
      </c>
      <c r="H45" s="10">
        <f>X1_X2_Inputs!G45-X1_X2_Inputs!H45</f>
        <v>-106</v>
      </c>
      <c r="I45" s="3">
        <v>-1.2</v>
      </c>
      <c r="J45" s="3">
        <v>2</v>
      </c>
      <c r="K45" s="4">
        <v>-0.6</v>
      </c>
      <c r="L45" s="4">
        <v>-0.8</v>
      </c>
      <c r="M45" s="9">
        <v>0</v>
      </c>
      <c r="N45" s="5">
        <v>-12.4</v>
      </c>
      <c r="O45" s="6">
        <v>1</v>
      </c>
      <c r="P45" s="6">
        <v>2</v>
      </c>
      <c r="Q45" s="6"/>
      <c r="R45" s="6">
        <f t="shared" si="1"/>
        <v>-1</v>
      </c>
    </row>
    <row r="46" spans="1:18">
      <c r="A46" s="1">
        <v>45</v>
      </c>
      <c r="B46" s="2">
        <v>46196</v>
      </c>
      <c r="C46" s="1" t="s">
        <v>18</v>
      </c>
      <c r="D46" s="1" t="s">
        <v>69</v>
      </c>
      <c r="E46" s="1" t="s">
        <v>72</v>
      </c>
      <c r="F46" s="1" t="s">
        <v>70</v>
      </c>
      <c r="G46" s="10">
        <f>X1_X2_Inputs!E46-X1_X2_Inputs!F46</f>
        <v>-69</v>
      </c>
      <c r="H46" s="10">
        <f>X1_X2_Inputs!G46-X1_X2_Inputs!H46</f>
        <v>498</v>
      </c>
      <c r="I46" s="3">
        <v>1</v>
      </c>
      <c r="J46" s="3">
        <v>-1.2</v>
      </c>
      <c r="K46" s="4">
        <v>0.4</v>
      </c>
      <c r="L46" s="4">
        <v>0.2</v>
      </c>
      <c r="M46" s="9">
        <v>0</v>
      </c>
      <c r="N46" s="5">
        <v>12.6</v>
      </c>
      <c r="O46" s="6">
        <v>0</v>
      </c>
      <c r="P46" s="6">
        <v>0</v>
      </c>
      <c r="Q46" s="6"/>
      <c r="R46" s="6">
        <f t="shared" si="1"/>
        <v>0</v>
      </c>
    </row>
    <row r="47" spans="1:18">
      <c r="A47" s="1">
        <v>46</v>
      </c>
      <c r="B47" s="2">
        <v>46196</v>
      </c>
      <c r="C47" s="1" t="s">
        <v>18</v>
      </c>
      <c r="D47" s="1" t="s">
        <v>69</v>
      </c>
      <c r="E47" s="1" t="s">
        <v>71</v>
      </c>
      <c r="F47" s="1" t="s">
        <v>73</v>
      </c>
      <c r="G47" s="10">
        <f>X1_X2_Inputs!E47-X1_X2_Inputs!F47</f>
        <v>23</v>
      </c>
      <c r="H47" s="10">
        <f>X1_X2_Inputs!G47-X1_X2_Inputs!H47</f>
        <v>-198</v>
      </c>
      <c r="I47" s="3">
        <v>0.4</v>
      </c>
      <c r="J47" s="3">
        <v>0</v>
      </c>
      <c r="K47" s="4">
        <v>0</v>
      </c>
      <c r="L47" s="4">
        <v>0</v>
      </c>
      <c r="M47" s="9">
        <v>0</v>
      </c>
      <c r="N47" s="5">
        <v>51.4</v>
      </c>
      <c r="O47" s="6">
        <v>0</v>
      </c>
      <c r="P47" s="6">
        <v>1</v>
      </c>
      <c r="Q47" s="6"/>
      <c r="R47" s="6">
        <f t="shared" si="1"/>
        <v>-1</v>
      </c>
    </row>
    <row r="48" spans="1:18">
      <c r="A48" s="1">
        <v>47</v>
      </c>
      <c r="B48" s="2">
        <v>46196</v>
      </c>
      <c r="C48" s="1" t="s">
        <v>18</v>
      </c>
      <c r="D48" s="1" t="s">
        <v>74</v>
      </c>
      <c r="E48" s="1" t="s">
        <v>75</v>
      </c>
      <c r="F48" s="1" t="s">
        <v>77</v>
      </c>
      <c r="G48" s="10">
        <f>X1_X2_Inputs!E48-X1_X2_Inputs!F48</f>
        <v>-45</v>
      </c>
      <c r="H48" s="10">
        <f>X1_X2_Inputs!G48-X1_X2_Inputs!H48</f>
        <v>269</v>
      </c>
      <c r="I48" s="3">
        <v>0.4</v>
      </c>
      <c r="J48" s="3">
        <v>-1</v>
      </c>
      <c r="K48" s="4">
        <v>0.4</v>
      </c>
      <c r="L48" s="4">
        <v>0.2</v>
      </c>
      <c r="M48" s="9">
        <v>0</v>
      </c>
      <c r="N48" s="5">
        <v>-5.8</v>
      </c>
      <c r="O48" s="6">
        <v>5</v>
      </c>
      <c r="P48" s="6">
        <v>0</v>
      </c>
      <c r="Q48" s="6"/>
      <c r="R48" s="6">
        <f t="shared" si="1"/>
        <v>5</v>
      </c>
    </row>
    <row r="49" spans="1:18">
      <c r="A49" s="1">
        <v>48</v>
      </c>
      <c r="B49" s="2">
        <v>46196</v>
      </c>
      <c r="C49" s="1" t="s">
        <v>18</v>
      </c>
      <c r="D49" s="1" t="s">
        <v>74</v>
      </c>
      <c r="E49" s="1" t="s">
        <v>78</v>
      </c>
      <c r="F49" s="1" t="s">
        <v>76</v>
      </c>
      <c r="G49" s="10">
        <f>X1_X2_Inputs!E49-X1_X2_Inputs!F49</f>
        <v>-33</v>
      </c>
      <c r="H49" s="10">
        <f>X1_X2_Inputs!G49-X1_X2_Inputs!H49</f>
        <v>324</v>
      </c>
      <c r="I49" s="3">
        <v>1</v>
      </c>
      <c r="J49" s="3">
        <v>0.8</v>
      </c>
      <c r="K49" s="4">
        <v>0.2</v>
      </c>
      <c r="L49" s="4">
        <v>-0.4</v>
      </c>
      <c r="M49" s="9">
        <v>0</v>
      </c>
      <c r="N49" s="5">
        <v>-28</v>
      </c>
      <c r="O49" s="6">
        <v>1</v>
      </c>
      <c r="P49" s="6">
        <v>0</v>
      </c>
      <c r="Q49" s="6"/>
      <c r="R49" s="6">
        <f t="shared" si="1"/>
        <v>1</v>
      </c>
    </row>
    <row r="50" spans="1:18">
      <c r="A50" s="1">
        <v>49</v>
      </c>
      <c r="B50" s="2">
        <v>46197</v>
      </c>
      <c r="C50" s="1" t="s">
        <v>18</v>
      </c>
      <c r="D50" s="1" t="s">
        <v>30</v>
      </c>
      <c r="E50" s="1" t="s">
        <v>32</v>
      </c>
      <c r="F50" s="1" t="s">
        <v>35</v>
      </c>
      <c r="G50" s="10">
        <f>X1_X2_Inputs!E50-X1_X2_Inputs!F50</f>
        <v>36</v>
      </c>
      <c r="H50" s="10">
        <f>X1_X2_Inputs!G50-X1_X2_Inputs!H50</f>
        <v>-218</v>
      </c>
      <c r="I50" s="3">
        <v>-1.2</v>
      </c>
      <c r="J50" s="3">
        <v>-0.4</v>
      </c>
      <c r="K50" s="4">
        <v>-0.2</v>
      </c>
      <c r="L50" s="4">
        <v>0.2</v>
      </c>
      <c r="M50" s="9">
        <v>0</v>
      </c>
      <c r="N50" s="5">
        <v>24.4</v>
      </c>
      <c r="O50" s="6">
        <v>0</v>
      </c>
      <c r="P50" s="6">
        <v>3</v>
      </c>
      <c r="Q50" s="6"/>
      <c r="R50" s="6">
        <f t="shared" si="1"/>
        <v>-3</v>
      </c>
    </row>
    <row r="51" spans="1:18">
      <c r="A51" s="1">
        <v>50</v>
      </c>
      <c r="B51" s="2">
        <v>46197</v>
      </c>
      <c r="C51" s="1" t="s">
        <v>18</v>
      </c>
      <c r="D51" s="1" t="s">
        <v>30</v>
      </c>
      <c r="E51" s="1" t="s">
        <v>36</v>
      </c>
      <c r="F51" s="1" t="s">
        <v>31</v>
      </c>
      <c r="G51" s="10">
        <f>X1_X2_Inputs!E51-X1_X2_Inputs!F51</f>
        <v>-76</v>
      </c>
      <c r="H51" s="10">
        <f>X1_X2_Inputs!G51-X1_X2_Inputs!H51</f>
        <v>338</v>
      </c>
      <c r="I51" s="3">
        <v>1.2</v>
      </c>
      <c r="J51" s="3">
        <v>-1</v>
      </c>
      <c r="K51" s="4">
        <v>0.4</v>
      </c>
      <c r="L51" s="4">
        <v>0.4</v>
      </c>
      <c r="M51" s="9">
        <v>0</v>
      </c>
      <c r="N51" s="5">
        <v>13</v>
      </c>
      <c r="O51" s="6">
        <v>4</v>
      </c>
      <c r="P51" s="6">
        <v>2</v>
      </c>
      <c r="Q51" s="6"/>
      <c r="R51" s="6">
        <f t="shared" si="1"/>
        <v>2</v>
      </c>
    </row>
    <row r="52" spans="1:18">
      <c r="A52" s="1">
        <v>51</v>
      </c>
      <c r="B52" s="2">
        <v>46197</v>
      </c>
      <c r="C52" s="1" t="s">
        <v>18</v>
      </c>
      <c r="D52" s="1" t="s">
        <v>24</v>
      </c>
      <c r="E52" s="1" t="s">
        <v>38</v>
      </c>
      <c r="F52" s="1" t="s">
        <v>25</v>
      </c>
      <c r="G52" s="10">
        <f>X1_X2_Inputs!E52-X1_X2_Inputs!F52</f>
        <v>-11</v>
      </c>
      <c r="H52" s="10">
        <f>X1_X2_Inputs!G52-X1_X2_Inputs!H52</f>
        <v>108</v>
      </c>
      <c r="I52" s="3">
        <v>0</v>
      </c>
      <c r="J52" s="3">
        <v>0.4</v>
      </c>
      <c r="K52" s="4">
        <v>0</v>
      </c>
      <c r="L52" s="4">
        <v>-0.4</v>
      </c>
      <c r="M52" s="9">
        <v>0</v>
      </c>
      <c r="N52" s="5">
        <v>-6.8</v>
      </c>
      <c r="O52" s="6">
        <v>2</v>
      </c>
      <c r="P52" s="6">
        <v>1</v>
      </c>
      <c r="Q52" s="6"/>
      <c r="R52" s="6">
        <f t="shared" si="1"/>
        <v>1</v>
      </c>
    </row>
    <row r="53" spans="1:18">
      <c r="A53" s="1">
        <v>52</v>
      </c>
      <c r="B53" s="2">
        <v>46197</v>
      </c>
      <c r="C53" s="1" t="s">
        <v>18</v>
      </c>
      <c r="D53" s="1" t="s">
        <v>24</v>
      </c>
      <c r="E53" s="1" t="s">
        <v>26</v>
      </c>
      <c r="F53" s="1" t="s">
        <v>37</v>
      </c>
      <c r="G53" s="10">
        <f>X1_X2_Inputs!E53-X1_X2_Inputs!F53</f>
        <v>8</v>
      </c>
      <c r="H53" s="10">
        <f>X1_X2_Inputs!G53-X1_X2_Inputs!H53</f>
        <v>159</v>
      </c>
      <c r="I53" s="3">
        <v>0.6</v>
      </c>
      <c r="J53" s="3">
        <v>-0.8</v>
      </c>
      <c r="K53" s="4">
        <v>0</v>
      </c>
      <c r="L53" s="4">
        <v>0</v>
      </c>
      <c r="M53" s="9">
        <v>0</v>
      </c>
      <c r="N53" s="5">
        <v>-17.2</v>
      </c>
      <c r="O53" s="6">
        <v>3</v>
      </c>
      <c r="P53" s="6">
        <v>1</v>
      </c>
      <c r="Q53" s="6"/>
      <c r="R53" s="6">
        <f t="shared" si="1"/>
        <v>2</v>
      </c>
    </row>
    <row r="54" spans="1:18">
      <c r="A54" s="1">
        <v>53</v>
      </c>
      <c r="B54" s="2">
        <v>46197</v>
      </c>
      <c r="C54" s="1" t="s">
        <v>18</v>
      </c>
      <c r="D54" s="1" t="s">
        <v>19</v>
      </c>
      <c r="E54" s="1" t="s">
        <v>23</v>
      </c>
      <c r="F54" s="1" t="s">
        <v>20</v>
      </c>
      <c r="G54" s="10">
        <f>X1_X2_Inputs!E54-X1_X2_Inputs!F54</f>
        <v>26</v>
      </c>
      <c r="H54" s="10">
        <f>X1_X2_Inputs!G54-X1_X2_Inputs!H54</f>
        <v>-200</v>
      </c>
      <c r="I54" s="3">
        <v>0</v>
      </c>
      <c r="J54" s="3">
        <v>1.2</v>
      </c>
      <c r="K54" s="4">
        <v>-0.6</v>
      </c>
      <c r="L54" s="4">
        <v>-0.8</v>
      </c>
      <c r="M54" s="9">
        <v>0</v>
      </c>
      <c r="N54" s="5">
        <v>11</v>
      </c>
      <c r="O54" s="6">
        <v>0</v>
      </c>
      <c r="P54" s="6">
        <v>3</v>
      </c>
      <c r="Q54" s="6"/>
      <c r="R54" s="6">
        <f t="shared" si="1"/>
        <v>-3</v>
      </c>
    </row>
    <row r="55" spans="1:18">
      <c r="A55" s="1">
        <v>54</v>
      </c>
      <c r="B55" s="2">
        <v>46197</v>
      </c>
      <c r="C55" s="1" t="s">
        <v>18</v>
      </c>
      <c r="D55" s="1" t="s">
        <v>19</v>
      </c>
      <c r="E55" s="1" t="s">
        <v>21</v>
      </c>
      <c r="F55" s="1" t="s">
        <v>22</v>
      </c>
      <c r="G55" s="10">
        <f>X1_X2_Inputs!E55-X1_X2_Inputs!F55</f>
        <v>35</v>
      </c>
      <c r="H55" s="10">
        <f>X1_X2_Inputs!G55-X1_X2_Inputs!H55</f>
        <v>-244</v>
      </c>
      <c r="I55" s="3">
        <v>-1</v>
      </c>
      <c r="J55" s="3">
        <v>0.4</v>
      </c>
      <c r="K55" s="4">
        <v>-0.4</v>
      </c>
      <c r="L55" s="4">
        <v>0</v>
      </c>
      <c r="M55" s="9">
        <v>0</v>
      </c>
      <c r="N55" s="5">
        <v>1.8</v>
      </c>
      <c r="O55" s="6">
        <v>1</v>
      </c>
      <c r="P55" s="6">
        <v>0</v>
      </c>
      <c r="Q55" s="6"/>
      <c r="R55" s="6">
        <f t="shared" si="1"/>
        <v>1</v>
      </c>
    </row>
    <row r="56" spans="1:18">
      <c r="A56" s="1">
        <v>55</v>
      </c>
      <c r="B56" s="2">
        <v>46198</v>
      </c>
      <c r="C56" s="1" t="s">
        <v>18</v>
      </c>
      <c r="D56" s="1" t="s">
        <v>39</v>
      </c>
      <c r="E56" s="1" t="s">
        <v>43</v>
      </c>
      <c r="F56" s="1" t="s">
        <v>40</v>
      </c>
      <c r="G56" s="10">
        <f>X1_X2_Inputs!E56-X1_X2_Inputs!F56</f>
        <v>49</v>
      </c>
      <c r="H56" s="10">
        <f>X1_X2_Inputs!G56-X1_X2_Inputs!H56</f>
        <v>-275</v>
      </c>
      <c r="I56" s="3">
        <v>-0.4</v>
      </c>
      <c r="J56" s="3">
        <v>2.6</v>
      </c>
      <c r="K56" s="4">
        <v>-0.6</v>
      </c>
      <c r="L56" s="4">
        <v>-0.2</v>
      </c>
      <c r="M56" s="9">
        <v>0</v>
      </c>
      <c r="N56" s="5">
        <v>39.6</v>
      </c>
      <c r="O56" s="6">
        <v>0</v>
      </c>
      <c r="P56" s="6">
        <v>2</v>
      </c>
      <c r="Q56" s="6"/>
      <c r="R56" s="6">
        <f t="shared" si="1"/>
        <v>-2</v>
      </c>
    </row>
    <row r="57" spans="1:18">
      <c r="A57" s="1">
        <v>56</v>
      </c>
      <c r="B57" s="2">
        <v>46198</v>
      </c>
      <c r="C57" s="1" t="s">
        <v>18</v>
      </c>
      <c r="D57" s="1" t="s">
        <v>39</v>
      </c>
      <c r="E57" s="1" t="s">
        <v>41</v>
      </c>
      <c r="F57" s="1" t="s">
        <v>42</v>
      </c>
      <c r="G57" s="10">
        <f>X1_X2_Inputs!E57-X1_X2_Inputs!F57</f>
        <v>13</v>
      </c>
      <c r="H57" s="10">
        <f>X1_X2_Inputs!G57-X1_X2_Inputs!H57</f>
        <v>-90</v>
      </c>
      <c r="I57" s="3">
        <v>-2.2000000000000002</v>
      </c>
      <c r="J57" s="3">
        <v>-0.2</v>
      </c>
      <c r="K57" s="4">
        <v>-0.6</v>
      </c>
      <c r="L57" s="4">
        <v>0.2</v>
      </c>
      <c r="M57" s="9">
        <v>0</v>
      </c>
      <c r="N57" s="5">
        <v>0.6</v>
      </c>
      <c r="O57" s="6">
        <v>2</v>
      </c>
      <c r="P57" s="6">
        <v>1</v>
      </c>
      <c r="Q57" s="6"/>
      <c r="R57" s="6">
        <f t="shared" si="1"/>
        <v>1</v>
      </c>
    </row>
    <row r="58" spans="1:18">
      <c r="A58" s="1">
        <v>57</v>
      </c>
      <c r="B58" s="2">
        <v>46198</v>
      </c>
      <c r="C58" s="1" t="s">
        <v>18</v>
      </c>
      <c r="D58" s="1" t="s">
        <v>44</v>
      </c>
      <c r="E58" s="1" t="s">
        <v>46</v>
      </c>
      <c r="F58" s="1" t="s">
        <v>47</v>
      </c>
      <c r="G58" s="10">
        <f>X1_X2_Inputs!E58-X1_X2_Inputs!F58</f>
        <v>-20</v>
      </c>
      <c r="H58" s="10">
        <f>X1_X2_Inputs!G58-X1_X2_Inputs!H58</f>
        <v>198</v>
      </c>
      <c r="I58" s="3">
        <v>-0.6</v>
      </c>
      <c r="J58" s="3">
        <v>-2.2000000000000002</v>
      </c>
      <c r="K58" s="4">
        <v>0.4</v>
      </c>
      <c r="L58" s="4">
        <v>0.8</v>
      </c>
      <c r="M58" s="9">
        <v>0</v>
      </c>
      <c r="N58" s="5">
        <v>1</v>
      </c>
      <c r="O58" s="6">
        <v>1</v>
      </c>
      <c r="P58" s="6">
        <v>1</v>
      </c>
      <c r="Q58" s="6"/>
      <c r="R58" s="6">
        <f t="shared" si="1"/>
        <v>0</v>
      </c>
    </row>
    <row r="59" spans="1:18">
      <c r="A59" s="1">
        <v>58</v>
      </c>
      <c r="B59" s="2">
        <v>46198</v>
      </c>
      <c r="C59" s="1" t="s">
        <v>18</v>
      </c>
      <c r="D59" s="1" t="s">
        <v>44</v>
      </c>
      <c r="E59" s="1" t="s">
        <v>48</v>
      </c>
      <c r="F59" s="1" t="s">
        <v>45</v>
      </c>
      <c r="G59" s="10">
        <f>X1_X2_Inputs!E59-X1_X2_Inputs!F59</f>
        <v>37</v>
      </c>
      <c r="H59" s="10">
        <f>X1_X2_Inputs!G59-X1_X2_Inputs!H59</f>
        <v>-402</v>
      </c>
      <c r="I59" s="3">
        <v>-1.8</v>
      </c>
      <c r="J59" s="3">
        <v>1.8</v>
      </c>
      <c r="K59" s="4">
        <v>-0.4</v>
      </c>
      <c r="L59" s="4">
        <v>0.2</v>
      </c>
      <c r="M59" s="9">
        <v>0</v>
      </c>
      <c r="N59" s="5">
        <v>-7.8</v>
      </c>
      <c r="O59" s="6">
        <v>1</v>
      </c>
      <c r="P59" s="6">
        <v>3</v>
      </c>
      <c r="Q59" s="6"/>
      <c r="R59" s="6">
        <f t="shared" si="1"/>
        <v>-2</v>
      </c>
    </row>
    <row r="60" spans="1:18">
      <c r="A60" s="1">
        <v>59</v>
      </c>
      <c r="B60" s="2">
        <v>46198</v>
      </c>
      <c r="C60" s="1" t="s">
        <v>18</v>
      </c>
      <c r="D60" s="1" t="s">
        <v>27</v>
      </c>
      <c r="E60" s="1" t="s">
        <v>34</v>
      </c>
      <c r="F60" s="1" t="s">
        <v>28</v>
      </c>
      <c r="G60" s="10">
        <f>X1_X2_Inputs!E60-X1_X2_Inputs!F60</f>
        <v>5</v>
      </c>
      <c r="H60" s="10">
        <f>X1_X2_Inputs!G60-X1_X2_Inputs!H60</f>
        <v>-7</v>
      </c>
      <c r="I60" s="3">
        <v>-0.6</v>
      </c>
      <c r="J60" s="3">
        <v>-0.6</v>
      </c>
      <c r="K60" s="4">
        <v>0</v>
      </c>
      <c r="L60" s="4">
        <v>0.2</v>
      </c>
      <c r="M60" s="9">
        <v>0</v>
      </c>
      <c r="N60" s="5">
        <v>33</v>
      </c>
      <c r="O60" s="6">
        <v>3</v>
      </c>
      <c r="P60" s="6">
        <v>2</v>
      </c>
      <c r="Q60" s="6"/>
      <c r="R60" s="6">
        <f t="shared" si="1"/>
        <v>1</v>
      </c>
    </row>
    <row r="61" spans="1:18">
      <c r="A61" s="1">
        <v>60</v>
      </c>
      <c r="B61" s="2">
        <v>46198</v>
      </c>
      <c r="C61" s="1" t="s">
        <v>18</v>
      </c>
      <c r="D61" s="1" t="s">
        <v>27</v>
      </c>
      <c r="E61" s="1" t="s">
        <v>29</v>
      </c>
      <c r="F61" s="1" t="s">
        <v>33</v>
      </c>
      <c r="G61" s="10">
        <f>X1_X2_Inputs!E61-X1_X2_Inputs!F61</f>
        <v>14</v>
      </c>
      <c r="H61" s="10">
        <f>X1_X2_Inputs!G61-X1_X2_Inputs!H61</f>
        <v>17</v>
      </c>
      <c r="I61" s="3">
        <v>0</v>
      </c>
      <c r="J61" s="3">
        <v>0.2</v>
      </c>
      <c r="K61" s="4">
        <v>0.2</v>
      </c>
      <c r="L61" s="4">
        <v>0.4</v>
      </c>
      <c r="M61" s="9">
        <v>0</v>
      </c>
      <c r="N61" s="5">
        <v>14</v>
      </c>
      <c r="O61" s="6">
        <v>0</v>
      </c>
      <c r="P61" s="6">
        <v>0</v>
      </c>
      <c r="Q61" s="6"/>
      <c r="R61" s="6">
        <f t="shared" si="1"/>
        <v>0</v>
      </c>
    </row>
    <row r="62" spans="1:18">
      <c r="A62" s="1">
        <v>61</v>
      </c>
      <c r="B62" s="2">
        <v>46199</v>
      </c>
      <c r="C62" s="1" t="s">
        <v>18</v>
      </c>
      <c r="D62" s="1" t="s">
        <v>59</v>
      </c>
      <c r="E62" s="1" t="s">
        <v>63</v>
      </c>
      <c r="F62" s="1" t="s">
        <v>60</v>
      </c>
      <c r="G62" s="10">
        <f>X1_X2_Inputs!E62-X1_X2_Inputs!F62</f>
        <v>28</v>
      </c>
      <c r="H62" s="10">
        <f>X1_X2_Inputs!G62-X1_X2_Inputs!H62</f>
        <v>-139</v>
      </c>
      <c r="I62" s="3">
        <v>-0.4</v>
      </c>
      <c r="J62" s="3">
        <v>0</v>
      </c>
      <c r="K62" s="4">
        <v>-0.2</v>
      </c>
      <c r="L62" s="4">
        <v>0</v>
      </c>
      <c r="M62" s="9">
        <v>0</v>
      </c>
      <c r="N62" s="5">
        <v>-10.8</v>
      </c>
      <c r="O62" s="6">
        <v>1</v>
      </c>
      <c r="P62" s="6">
        <v>4</v>
      </c>
      <c r="Q62" s="6"/>
      <c r="R62" s="6">
        <f t="shared" si="1"/>
        <v>-3</v>
      </c>
    </row>
    <row r="63" spans="1:18">
      <c r="A63" s="1">
        <v>62</v>
      </c>
      <c r="B63" s="2">
        <v>46199</v>
      </c>
      <c r="C63" s="1" t="s">
        <v>18</v>
      </c>
      <c r="D63" s="1" t="s">
        <v>59</v>
      </c>
      <c r="E63" s="1" t="s">
        <v>61</v>
      </c>
      <c r="F63" s="1" t="s">
        <v>62</v>
      </c>
      <c r="G63" s="10">
        <f>X1_X2_Inputs!E63-X1_X2_Inputs!F63</f>
        <v>-42</v>
      </c>
      <c r="H63" s="10">
        <f>X1_X2_Inputs!G63-X1_X2_Inputs!H63</f>
        <v>231</v>
      </c>
      <c r="I63" s="3">
        <v>1</v>
      </c>
      <c r="J63" s="3">
        <v>0</v>
      </c>
      <c r="K63" s="4">
        <v>0</v>
      </c>
      <c r="L63" s="4">
        <v>0</v>
      </c>
      <c r="M63" s="9">
        <v>0</v>
      </c>
      <c r="N63" s="5">
        <v>-6.2</v>
      </c>
      <c r="O63" s="6">
        <v>5</v>
      </c>
      <c r="P63" s="6">
        <v>0</v>
      </c>
      <c r="Q63" s="6"/>
      <c r="R63" s="6">
        <f t="shared" si="1"/>
        <v>5</v>
      </c>
    </row>
    <row r="64" spans="1:18">
      <c r="A64" s="1">
        <v>63</v>
      </c>
      <c r="B64" s="2">
        <v>46199</v>
      </c>
      <c r="C64" s="1" t="s">
        <v>18</v>
      </c>
      <c r="D64" s="1" t="s">
        <v>54</v>
      </c>
      <c r="E64" s="1" t="s">
        <v>58</v>
      </c>
      <c r="F64" s="1" t="s">
        <v>55</v>
      </c>
      <c r="G64" s="10">
        <f>X1_X2_Inputs!E64-X1_X2_Inputs!F64</f>
        <v>9</v>
      </c>
      <c r="H64" s="10">
        <f>X1_X2_Inputs!G64-X1_X2_Inputs!H64</f>
        <v>-26</v>
      </c>
      <c r="I64" s="3">
        <v>-1.2</v>
      </c>
      <c r="J64" s="3">
        <v>0.2</v>
      </c>
      <c r="K64" s="4">
        <v>-0.2</v>
      </c>
      <c r="L64" s="4">
        <v>-0.2</v>
      </c>
      <c r="M64" s="9">
        <v>0</v>
      </c>
      <c r="N64" s="5">
        <v>-35.200000000000003</v>
      </c>
      <c r="O64" s="6">
        <v>1</v>
      </c>
      <c r="P64" s="6">
        <v>1</v>
      </c>
      <c r="Q64" s="6"/>
      <c r="R64" s="6">
        <f t="shared" si="1"/>
        <v>0</v>
      </c>
    </row>
    <row r="65" spans="1:18">
      <c r="A65" s="1">
        <v>64</v>
      </c>
      <c r="B65" s="2">
        <v>46199</v>
      </c>
      <c r="C65" s="1" t="s">
        <v>18</v>
      </c>
      <c r="D65" s="1" t="s">
        <v>54</v>
      </c>
      <c r="E65" s="1" t="s">
        <v>56</v>
      </c>
      <c r="F65" s="1" t="s">
        <v>57</v>
      </c>
      <c r="G65" s="10">
        <f>X1_X2_Inputs!E65-X1_X2_Inputs!F65</f>
        <v>76</v>
      </c>
      <c r="H65" s="10">
        <f>X1_X2_Inputs!G65-X1_X2_Inputs!H65</f>
        <v>-320</v>
      </c>
      <c r="I65" s="3">
        <v>-0.4</v>
      </c>
      <c r="J65" s="3">
        <v>1.8</v>
      </c>
      <c r="K65" s="4">
        <v>-0.2</v>
      </c>
      <c r="L65" s="4">
        <v>-0.6</v>
      </c>
      <c r="M65" s="9">
        <v>0</v>
      </c>
      <c r="N65" s="5">
        <v>14.2</v>
      </c>
      <c r="O65" s="6">
        <v>1</v>
      </c>
      <c r="P65" s="6">
        <v>5</v>
      </c>
      <c r="Q65" s="6"/>
      <c r="R65" s="6">
        <f t="shared" si="1"/>
        <v>-4</v>
      </c>
    </row>
    <row r="66" spans="1:18">
      <c r="A66" s="1">
        <v>65</v>
      </c>
      <c r="B66" s="2">
        <v>46199</v>
      </c>
      <c r="C66" s="1" t="s">
        <v>18</v>
      </c>
      <c r="D66" s="1" t="s">
        <v>49</v>
      </c>
      <c r="E66" s="1" t="s">
        <v>53</v>
      </c>
      <c r="F66" s="1" t="s">
        <v>50</v>
      </c>
      <c r="G66" s="10">
        <f>X1_X2_Inputs!E66-X1_X2_Inputs!F66</f>
        <v>6</v>
      </c>
      <c r="H66" s="10">
        <f>X1_X2_Inputs!G66-X1_X2_Inputs!H66</f>
        <v>32</v>
      </c>
      <c r="I66" s="3">
        <v>0.2</v>
      </c>
      <c r="J66" s="3">
        <v>-0.2</v>
      </c>
      <c r="K66" s="4">
        <v>0</v>
      </c>
      <c r="L66" s="4">
        <v>0</v>
      </c>
      <c r="M66" s="9">
        <v>0</v>
      </c>
      <c r="N66" s="5">
        <v>17.399999999999999</v>
      </c>
      <c r="O66" s="6">
        <v>0</v>
      </c>
      <c r="P66" s="6">
        <v>0</v>
      </c>
      <c r="Q66" s="6"/>
      <c r="R66" s="6">
        <f t="shared" ref="R66:R97" si="2">O66-P66</f>
        <v>0</v>
      </c>
    </row>
    <row r="67" spans="1:18">
      <c r="A67" s="1">
        <v>66</v>
      </c>
      <c r="B67" s="2">
        <v>46199</v>
      </c>
      <c r="C67" s="1" t="s">
        <v>18</v>
      </c>
      <c r="D67" s="1" t="s">
        <v>49</v>
      </c>
      <c r="E67" s="1" t="s">
        <v>51</v>
      </c>
      <c r="F67" s="1" t="s">
        <v>52</v>
      </c>
      <c r="G67" s="10">
        <f>X1_X2_Inputs!E67-X1_X2_Inputs!F67</f>
        <v>14</v>
      </c>
      <c r="H67" s="10">
        <f>X1_X2_Inputs!G67-X1_X2_Inputs!H67</f>
        <v>-283</v>
      </c>
      <c r="I67" s="3">
        <v>-0.6</v>
      </c>
      <c r="J67" s="3">
        <v>1.4</v>
      </c>
      <c r="K67" s="4">
        <v>-0.4</v>
      </c>
      <c r="L67" s="4">
        <v>-0.4</v>
      </c>
      <c r="M67" s="9">
        <v>0</v>
      </c>
      <c r="N67" s="5">
        <v>-18.600000000000001</v>
      </c>
      <c r="O67" s="6">
        <v>0</v>
      </c>
      <c r="P67" s="6">
        <v>1</v>
      </c>
      <c r="Q67" s="6"/>
      <c r="R67" s="6">
        <f t="shared" si="2"/>
        <v>-1</v>
      </c>
    </row>
    <row r="68" spans="1:18">
      <c r="A68" s="1">
        <v>67</v>
      </c>
      <c r="B68" s="2">
        <v>46200</v>
      </c>
      <c r="C68" s="1" t="s">
        <v>18</v>
      </c>
      <c r="D68" s="1" t="s">
        <v>69</v>
      </c>
      <c r="E68" s="1" t="s">
        <v>71</v>
      </c>
      <c r="F68" s="1" t="s">
        <v>72</v>
      </c>
      <c r="G68" s="10">
        <f>X1_X2_Inputs!E68-X1_X2_Inputs!F68</f>
        <v>30</v>
      </c>
      <c r="H68" s="10">
        <f>X1_X2_Inputs!G68-X1_X2_Inputs!H68</f>
        <v>-360</v>
      </c>
      <c r="I68" s="3">
        <v>-0.2</v>
      </c>
      <c r="J68" s="3">
        <v>1.6</v>
      </c>
      <c r="K68" s="4">
        <v>-0.4</v>
      </c>
      <c r="L68" s="4">
        <v>-0.6</v>
      </c>
      <c r="M68" s="9">
        <v>0</v>
      </c>
      <c r="N68" s="5">
        <v>11.8</v>
      </c>
      <c r="O68" s="6">
        <v>0</v>
      </c>
      <c r="P68" s="6">
        <v>2</v>
      </c>
      <c r="Q68" s="6"/>
      <c r="R68" s="6">
        <f t="shared" si="2"/>
        <v>-2</v>
      </c>
    </row>
    <row r="69" spans="1:18">
      <c r="A69" s="1">
        <v>68</v>
      </c>
      <c r="B69" s="2">
        <v>46200</v>
      </c>
      <c r="C69" s="1" t="s">
        <v>18</v>
      </c>
      <c r="D69" s="1" t="s">
        <v>69</v>
      </c>
      <c r="E69" s="1" t="s">
        <v>73</v>
      </c>
      <c r="F69" s="1" t="s">
        <v>70</v>
      </c>
      <c r="G69" s="10">
        <f>X1_X2_Inputs!E69-X1_X2_Inputs!F69</f>
        <v>-62</v>
      </c>
      <c r="H69" s="10">
        <f>X1_X2_Inputs!G69-X1_X2_Inputs!H69</f>
        <v>312</v>
      </c>
      <c r="I69" s="3">
        <v>0.6</v>
      </c>
      <c r="J69" s="3">
        <v>1</v>
      </c>
      <c r="K69" s="4">
        <v>0.2</v>
      </c>
      <c r="L69" s="4">
        <v>-0.2</v>
      </c>
      <c r="M69" s="9">
        <v>0</v>
      </c>
      <c r="N69" s="5">
        <v>2</v>
      </c>
      <c r="O69" s="6">
        <v>2</v>
      </c>
      <c r="P69" s="6">
        <v>1</v>
      </c>
      <c r="Q69" s="6"/>
      <c r="R69" s="6">
        <f t="shared" si="2"/>
        <v>1</v>
      </c>
    </row>
    <row r="70" spans="1:18">
      <c r="A70" s="1">
        <v>69</v>
      </c>
      <c r="B70" s="2">
        <v>46200</v>
      </c>
      <c r="C70" s="1" t="s">
        <v>18</v>
      </c>
      <c r="D70" s="1" t="s">
        <v>64</v>
      </c>
      <c r="E70" s="1" t="s">
        <v>66</v>
      </c>
      <c r="F70" s="1" t="s">
        <v>67</v>
      </c>
      <c r="G70" s="10">
        <f>X1_X2_Inputs!E70-X1_X2_Inputs!F70</f>
        <v>4</v>
      </c>
      <c r="H70" s="10">
        <f>X1_X2_Inputs!G70-X1_X2_Inputs!H70</f>
        <v>-61</v>
      </c>
      <c r="I70" s="3">
        <v>-0.6</v>
      </c>
      <c r="J70" s="3">
        <v>0</v>
      </c>
      <c r="K70" s="4">
        <v>-0.2</v>
      </c>
      <c r="L70" s="4">
        <v>0.2</v>
      </c>
      <c r="M70" s="9">
        <v>0</v>
      </c>
      <c r="N70" s="5">
        <v>-7.6</v>
      </c>
      <c r="O70" s="6">
        <v>3</v>
      </c>
      <c r="P70" s="6">
        <v>3</v>
      </c>
      <c r="Q70" s="6"/>
      <c r="R70" s="6">
        <f t="shared" si="2"/>
        <v>0</v>
      </c>
    </row>
    <row r="71" spans="1:18">
      <c r="A71" s="1">
        <v>70</v>
      </c>
      <c r="B71" s="2">
        <v>46200</v>
      </c>
      <c r="C71" s="1" t="s">
        <v>18</v>
      </c>
      <c r="D71" s="1" t="s">
        <v>64</v>
      </c>
      <c r="E71" s="1" t="s">
        <v>68</v>
      </c>
      <c r="F71" s="1" t="s">
        <v>65</v>
      </c>
      <c r="G71" s="10">
        <f>X1_X2_Inputs!E71-X1_X2_Inputs!F71</f>
        <v>62</v>
      </c>
      <c r="H71" s="10">
        <f>X1_X2_Inputs!G71-X1_X2_Inputs!H71</f>
        <v>-512</v>
      </c>
      <c r="I71" s="3">
        <v>-2</v>
      </c>
      <c r="J71" s="3">
        <v>2.6</v>
      </c>
      <c r="K71" s="4">
        <v>-1</v>
      </c>
      <c r="L71" s="4">
        <v>-1</v>
      </c>
      <c r="M71" s="9">
        <v>0</v>
      </c>
      <c r="N71" s="5">
        <v>-34.799999999999997</v>
      </c>
      <c r="O71" s="6">
        <v>1</v>
      </c>
      <c r="P71" s="6">
        <v>3</v>
      </c>
      <c r="Q71" s="6"/>
      <c r="R71" s="6">
        <f t="shared" si="2"/>
        <v>-2</v>
      </c>
    </row>
    <row r="72" spans="1:18">
      <c r="A72" s="1">
        <v>71</v>
      </c>
      <c r="B72" s="2">
        <v>46200</v>
      </c>
      <c r="C72" s="1" t="s">
        <v>18</v>
      </c>
      <c r="D72" s="1" t="s">
        <v>74</v>
      </c>
      <c r="E72" s="1" t="s">
        <v>78</v>
      </c>
      <c r="F72" s="1" t="s">
        <v>75</v>
      </c>
      <c r="G72" s="10">
        <f>X1_X2_Inputs!E72-X1_X2_Inputs!F72</f>
        <v>8</v>
      </c>
      <c r="H72" s="10">
        <f>X1_X2_Inputs!G72-X1_X2_Inputs!H72</f>
        <v>18</v>
      </c>
      <c r="I72" s="3">
        <v>-0.4</v>
      </c>
      <c r="J72" s="3">
        <v>0.4</v>
      </c>
      <c r="K72" s="4">
        <v>0</v>
      </c>
      <c r="L72" s="4">
        <v>0</v>
      </c>
      <c r="M72" s="9">
        <v>0</v>
      </c>
      <c r="N72" s="5">
        <v>4.4000000000000004</v>
      </c>
      <c r="O72" s="6">
        <v>0</v>
      </c>
      <c r="P72" s="6">
        <v>0</v>
      </c>
      <c r="Q72" s="6"/>
      <c r="R72" s="6">
        <f t="shared" si="2"/>
        <v>0</v>
      </c>
    </row>
    <row r="73" spans="1:18">
      <c r="A73" s="1">
        <v>72</v>
      </c>
      <c r="B73" s="2">
        <v>46200</v>
      </c>
      <c r="C73" s="1" t="s">
        <v>18</v>
      </c>
      <c r="D73" s="1" t="s">
        <v>74</v>
      </c>
      <c r="E73" s="1" t="s">
        <v>76</v>
      </c>
      <c r="F73" s="1" t="s">
        <v>77</v>
      </c>
      <c r="G73" s="10">
        <f>X1_X2_Inputs!E73-X1_X2_Inputs!F73</f>
        <v>-4</v>
      </c>
      <c r="H73" s="10">
        <f>X1_X2_Inputs!G73-X1_X2_Inputs!H73</f>
        <v>-11</v>
      </c>
      <c r="I73" s="3">
        <v>0.2</v>
      </c>
      <c r="J73" s="3">
        <v>-1.6</v>
      </c>
      <c r="K73" s="4">
        <v>0.2</v>
      </c>
      <c r="L73" s="4">
        <v>0.2</v>
      </c>
      <c r="M73" s="9">
        <v>0</v>
      </c>
      <c r="N73" s="5">
        <v>11.4</v>
      </c>
      <c r="O73" s="6">
        <v>3</v>
      </c>
      <c r="P73" s="6">
        <v>1</v>
      </c>
      <c r="Q73" s="6"/>
      <c r="R73" s="6">
        <f t="shared" si="2"/>
        <v>2</v>
      </c>
    </row>
    <row r="74" spans="1:18">
      <c r="A74" s="1">
        <v>73</v>
      </c>
      <c r="B74" s="2">
        <v>46201</v>
      </c>
      <c r="C74" s="1" t="s">
        <v>79</v>
      </c>
      <c r="D74" s="1"/>
      <c r="E74" s="1" t="s">
        <v>21</v>
      </c>
      <c r="F74" s="1" t="s">
        <v>25</v>
      </c>
      <c r="G74" s="10">
        <f>X1_X2_Inputs!E74-X1_X2_Inputs!F74</f>
        <v>30</v>
      </c>
      <c r="H74" s="10">
        <f>X1_X2_Inputs!G74-X1_X2_Inputs!H74</f>
        <v>-173</v>
      </c>
      <c r="I74" s="3">
        <v>-1.6</v>
      </c>
      <c r="J74" s="3">
        <v>-0.2</v>
      </c>
      <c r="K74" s="4">
        <v>0</v>
      </c>
      <c r="L74" s="4">
        <v>0.2</v>
      </c>
      <c r="M74" s="9">
        <v>0</v>
      </c>
      <c r="N74" s="5">
        <v>6.6</v>
      </c>
      <c r="O74" s="6">
        <v>0</v>
      </c>
      <c r="P74" s="6">
        <v>1</v>
      </c>
      <c r="Q74" s="6"/>
      <c r="R74" s="6">
        <f t="shared" si="2"/>
        <v>-1</v>
      </c>
    </row>
    <row r="75" spans="1:18">
      <c r="A75" s="1">
        <v>74</v>
      </c>
      <c r="B75" s="2">
        <v>46202</v>
      </c>
      <c r="C75" s="1" t="s">
        <v>79</v>
      </c>
      <c r="D75" s="1"/>
      <c r="E75" s="1" t="s">
        <v>42</v>
      </c>
      <c r="F75" s="1" t="s">
        <v>29</v>
      </c>
      <c r="G75" s="10">
        <f>X1_X2_Inputs!E75-X1_X2_Inputs!F75</f>
        <v>-31</v>
      </c>
      <c r="H75" s="10">
        <f>X1_X2_Inputs!G75-X1_X2_Inputs!H75</f>
        <v>101</v>
      </c>
      <c r="I75" s="3">
        <v>1.8</v>
      </c>
      <c r="J75" s="3">
        <v>-0.2</v>
      </c>
      <c r="K75" s="4">
        <v>0.4</v>
      </c>
      <c r="L75" s="4">
        <v>-0.4</v>
      </c>
      <c r="M75" s="9">
        <v>0</v>
      </c>
      <c r="N75" s="5">
        <v>4.4000000000000004</v>
      </c>
      <c r="O75" s="6">
        <v>1</v>
      </c>
      <c r="P75" s="6">
        <v>1</v>
      </c>
      <c r="Q75" s="6" t="s">
        <v>80</v>
      </c>
      <c r="R75" s="6">
        <f t="shared" si="2"/>
        <v>0</v>
      </c>
    </row>
    <row r="76" spans="1:18">
      <c r="A76" s="1">
        <v>75</v>
      </c>
      <c r="B76" s="2">
        <v>46202</v>
      </c>
      <c r="C76" s="1" t="s">
        <v>79</v>
      </c>
      <c r="D76" s="1"/>
      <c r="E76" s="1" t="s">
        <v>45</v>
      </c>
      <c r="F76" s="1" t="s">
        <v>36</v>
      </c>
      <c r="G76" s="10">
        <f>X1_X2_Inputs!E76-X1_X2_Inputs!F76</f>
        <v>1</v>
      </c>
      <c r="H76" s="10">
        <f>X1_X2_Inputs!G76-X1_X2_Inputs!H76</f>
        <v>103</v>
      </c>
      <c r="I76" s="3">
        <v>0.2</v>
      </c>
      <c r="J76" s="3">
        <v>0.4</v>
      </c>
      <c r="K76" s="4">
        <v>0</v>
      </c>
      <c r="L76" s="4">
        <v>-0.4</v>
      </c>
      <c r="M76" s="9">
        <v>-1</v>
      </c>
      <c r="N76" s="5">
        <v>-17.399999999999999</v>
      </c>
      <c r="O76" s="6">
        <v>1</v>
      </c>
      <c r="P76" s="6">
        <v>1</v>
      </c>
      <c r="Q76" s="6" t="s">
        <v>81</v>
      </c>
      <c r="R76" s="6">
        <f t="shared" si="2"/>
        <v>0</v>
      </c>
    </row>
    <row r="77" spans="1:18">
      <c r="A77" s="1">
        <v>76</v>
      </c>
      <c r="B77" s="2">
        <v>46202</v>
      </c>
      <c r="C77" s="1" t="s">
        <v>79</v>
      </c>
      <c r="D77" s="1"/>
      <c r="E77" s="1" t="s">
        <v>35</v>
      </c>
      <c r="F77" s="1" t="s">
        <v>46</v>
      </c>
      <c r="G77" s="10">
        <f>X1_X2_Inputs!E77-X1_X2_Inputs!F77</f>
        <v>-12</v>
      </c>
      <c r="H77" s="10">
        <f>X1_X2_Inputs!G77-X1_X2_Inputs!H77</f>
        <v>99</v>
      </c>
      <c r="I77" s="3">
        <v>1.2</v>
      </c>
      <c r="J77" s="3">
        <v>0.2</v>
      </c>
      <c r="K77" s="4">
        <v>0.2</v>
      </c>
      <c r="L77" s="4">
        <v>-0.2</v>
      </c>
      <c r="M77" s="9">
        <v>1</v>
      </c>
      <c r="N77" s="5">
        <v>4.8</v>
      </c>
      <c r="O77" s="6">
        <v>2</v>
      </c>
      <c r="P77" s="6">
        <v>1</v>
      </c>
      <c r="Q77" s="6"/>
      <c r="R77" s="6">
        <f t="shared" si="2"/>
        <v>1</v>
      </c>
    </row>
    <row r="78" spans="1:18">
      <c r="A78" s="1">
        <v>77</v>
      </c>
      <c r="B78" s="2">
        <v>46203</v>
      </c>
      <c r="C78" s="1" t="s">
        <v>79</v>
      </c>
      <c r="D78" s="1"/>
      <c r="E78" s="1" t="s">
        <v>60</v>
      </c>
      <c r="F78" s="1" t="s">
        <v>47</v>
      </c>
      <c r="G78" s="10">
        <f>X1_X2_Inputs!E78-X1_X2_Inputs!F78</f>
        <v>-35</v>
      </c>
      <c r="H78" s="10">
        <f>X1_X2_Inputs!G78-X1_X2_Inputs!H78</f>
        <v>381</v>
      </c>
      <c r="I78" s="3">
        <v>0.8</v>
      </c>
      <c r="J78" s="3">
        <v>-1.4</v>
      </c>
      <c r="K78" s="4">
        <v>0.6</v>
      </c>
      <c r="L78" s="4">
        <v>0.2</v>
      </c>
      <c r="M78" s="9">
        <v>-1</v>
      </c>
      <c r="N78" s="5">
        <v>11.6</v>
      </c>
      <c r="O78" s="6">
        <v>3</v>
      </c>
      <c r="P78" s="6">
        <v>0</v>
      </c>
      <c r="Q78" s="6"/>
      <c r="R78" s="6">
        <f t="shared" si="2"/>
        <v>3</v>
      </c>
    </row>
    <row r="79" spans="1:18">
      <c r="A79" s="1">
        <v>78</v>
      </c>
      <c r="B79" s="2">
        <v>46203</v>
      </c>
      <c r="C79" s="1" t="s">
        <v>79</v>
      </c>
      <c r="D79" s="1"/>
      <c r="E79" s="1" t="s">
        <v>40</v>
      </c>
      <c r="F79" s="1" t="s">
        <v>63</v>
      </c>
      <c r="G79" s="10">
        <f>X1_X2_Inputs!E79-X1_X2_Inputs!F79</f>
        <v>2</v>
      </c>
      <c r="H79" s="10">
        <f>X1_X2_Inputs!G79-X1_X2_Inputs!H79</f>
        <v>-175</v>
      </c>
      <c r="I79" s="3">
        <v>-1</v>
      </c>
      <c r="J79" s="3">
        <v>-1.2</v>
      </c>
      <c r="K79" s="4">
        <v>0.2</v>
      </c>
      <c r="L79" s="4">
        <v>0.6</v>
      </c>
      <c r="M79" s="9">
        <v>1</v>
      </c>
      <c r="N79" s="5">
        <v>6.6</v>
      </c>
      <c r="O79" s="6">
        <v>1</v>
      </c>
      <c r="P79" s="6">
        <v>2</v>
      </c>
      <c r="Q79" s="6"/>
      <c r="R79" s="6">
        <f t="shared" si="2"/>
        <v>-1</v>
      </c>
    </row>
    <row r="80" spans="1:18">
      <c r="A80" s="1">
        <v>79</v>
      </c>
      <c r="B80" s="2">
        <v>46203</v>
      </c>
      <c r="C80" s="1" t="s">
        <v>79</v>
      </c>
      <c r="D80" s="1"/>
      <c r="E80" s="1" t="s">
        <v>20</v>
      </c>
      <c r="F80" s="1" t="s">
        <v>41</v>
      </c>
      <c r="G80" s="10">
        <f>X1_X2_Inputs!E80-X1_X2_Inputs!F80</f>
        <v>-9</v>
      </c>
      <c r="H80" s="10">
        <f>X1_X2_Inputs!G80-X1_X2_Inputs!H80</f>
        <v>10</v>
      </c>
      <c r="I80" s="3">
        <v>1</v>
      </c>
      <c r="J80" s="3">
        <v>-0.4</v>
      </c>
      <c r="K80" s="4">
        <v>0.4</v>
      </c>
      <c r="L80" s="4">
        <v>0.4</v>
      </c>
      <c r="M80" s="9">
        <v>1</v>
      </c>
      <c r="N80" s="5">
        <v>-18.2</v>
      </c>
      <c r="O80" s="6">
        <v>2</v>
      </c>
      <c r="P80" s="6">
        <v>0</v>
      </c>
      <c r="Q80" s="6"/>
      <c r="R80" s="6">
        <f t="shared" si="2"/>
        <v>2</v>
      </c>
    </row>
    <row r="81" spans="1:18">
      <c r="A81" s="1">
        <v>80</v>
      </c>
      <c r="B81" s="2">
        <v>46204</v>
      </c>
      <c r="C81" s="1" t="s">
        <v>79</v>
      </c>
      <c r="D81" s="1"/>
      <c r="E81" s="1" t="s">
        <v>72</v>
      </c>
      <c r="F81" s="1" t="s">
        <v>76</v>
      </c>
      <c r="G81" s="10">
        <f>X1_X2_Inputs!E81-X1_X2_Inputs!F81</f>
        <v>-42</v>
      </c>
      <c r="H81" s="10">
        <f>X1_X2_Inputs!G81-X1_X2_Inputs!H81</f>
        <v>326</v>
      </c>
      <c r="I81" s="3">
        <v>1</v>
      </c>
      <c r="J81" s="3">
        <v>-0.6</v>
      </c>
      <c r="K81" s="4">
        <v>0.6</v>
      </c>
      <c r="L81" s="4">
        <v>0.6</v>
      </c>
      <c r="M81" s="9">
        <v>0</v>
      </c>
      <c r="N81" s="5">
        <v>22.4</v>
      </c>
      <c r="O81" s="6">
        <v>2</v>
      </c>
      <c r="P81" s="6">
        <v>1</v>
      </c>
      <c r="Q81" s="6"/>
      <c r="R81" s="6">
        <f t="shared" si="2"/>
        <v>1</v>
      </c>
    </row>
    <row r="82" spans="1:18">
      <c r="A82" s="1">
        <v>81</v>
      </c>
      <c r="B82" s="2">
        <v>46204</v>
      </c>
      <c r="C82" s="1" t="s">
        <v>79</v>
      </c>
      <c r="D82" s="1"/>
      <c r="E82" s="1" t="s">
        <v>28</v>
      </c>
      <c r="F82" s="1" t="s">
        <v>26</v>
      </c>
      <c r="G82" s="10">
        <f>X1_X2_Inputs!E82-X1_X2_Inputs!F82</f>
        <v>-47</v>
      </c>
      <c r="H82" s="10">
        <f>X1_X2_Inputs!G82-X1_X2_Inputs!H82</f>
        <v>159</v>
      </c>
      <c r="I82" s="3">
        <v>1.2</v>
      </c>
      <c r="J82" s="3">
        <v>0.2</v>
      </c>
      <c r="K82" s="4">
        <v>0.4</v>
      </c>
      <c r="L82" s="4">
        <v>0</v>
      </c>
      <c r="M82" s="9">
        <v>-1</v>
      </c>
      <c r="N82" s="5">
        <v>-18.2</v>
      </c>
      <c r="O82" s="6">
        <v>2</v>
      </c>
      <c r="P82" s="6">
        <v>0</v>
      </c>
      <c r="Q82" s="6"/>
      <c r="R82" s="6">
        <f t="shared" si="2"/>
        <v>2</v>
      </c>
    </row>
    <row r="83" spans="1:18">
      <c r="A83" s="1">
        <v>82</v>
      </c>
      <c r="B83" s="2">
        <v>46204</v>
      </c>
      <c r="C83" s="1" t="s">
        <v>79</v>
      </c>
      <c r="D83" s="1"/>
      <c r="E83" s="1" t="s">
        <v>57</v>
      </c>
      <c r="F83" s="1" t="s">
        <v>61</v>
      </c>
      <c r="G83" s="10">
        <f>X1_X2_Inputs!E83-X1_X2_Inputs!F83</f>
        <v>-6</v>
      </c>
      <c r="H83" s="10">
        <f>X1_X2_Inputs!G83-X1_X2_Inputs!H83</f>
        <v>42</v>
      </c>
      <c r="I83" s="3">
        <v>0.6</v>
      </c>
      <c r="J83" s="3">
        <v>-1.4</v>
      </c>
      <c r="K83" s="4">
        <v>0.4</v>
      </c>
      <c r="L83" s="4">
        <v>0.2</v>
      </c>
      <c r="M83" s="9">
        <v>0</v>
      </c>
      <c r="N83" s="5">
        <v>4.2</v>
      </c>
      <c r="O83" s="6">
        <v>3</v>
      </c>
      <c r="P83" s="6">
        <v>2</v>
      </c>
      <c r="Q83" s="6" t="s">
        <v>82</v>
      </c>
      <c r="R83" s="6">
        <f t="shared" si="2"/>
        <v>1</v>
      </c>
    </row>
    <row r="84" spans="1:18">
      <c r="A84" s="1">
        <v>83</v>
      </c>
      <c r="B84" s="2">
        <v>46205</v>
      </c>
      <c r="C84" s="1" t="s">
        <v>79</v>
      </c>
      <c r="D84" s="1"/>
      <c r="E84" s="1" t="s">
        <v>75</v>
      </c>
      <c r="F84" s="1" t="s">
        <v>73</v>
      </c>
      <c r="G84" s="10">
        <f>X1_X2_Inputs!E84-X1_X2_Inputs!F84</f>
        <v>-6</v>
      </c>
      <c r="H84" s="10">
        <f>X1_X2_Inputs!G84-X1_X2_Inputs!H84</f>
        <v>85</v>
      </c>
      <c r="I84" s="3">
        <v>0.6</v>
      </c>
      <c r="J84" s="3">
        <v>-1</v>
      </c>
      <c r="K84" s="4">
        <v>0</v>
      </c>
      <c r="L84" s="4">
        <v>0.2</v>
      </c>
      <c r="M84" s="9">
        <v>0</v>
      </c>
      <c r="N84" s="5">
        <v>2.2000000000000002</v>
      </c>
      <c r="O84" s="6">
        <v>2</v>
      </c>
      <c r="P84" s="6">
        <v>1</v>
      </c>
      <c r="Q84" s="6"/>
      <c r="R84" s="6">
        <f t="shared" si="2"/>
        <v>1</v>
      </c>
    </row>
    <row r="85" spans="1:18">
      <c r="A85" s="1">
        <v>84</v>
      </c>
      <c r="B85" s="2">
        <v>46205</v>
      </c>
      <c r="C85" s="1" t="s">
        <v>79</v>
      </c>
      <c r="D85" s="1"/>
      <c r="E85" s="1" t="s">
        <v>52</v>
      </c>
      <c r="F85" s="1" t="s">
        <v>67</v>
      </c>
      <c r="G85" s="10">
        <f>X1_X2_Inputs!E85-X1_X2_Inputs!F85</f>
        <v>-22</v>
      </c>
      <c r="H85" s="10">
        <f>X1_X2_Inputs!G85-X1_X2_Inputs!H85</f>
        <v>308</v>
      </c>
      <c r="I85" s="3">
        <v>0.2</v>
      </c>
      <c r="J85" s="3">
        <v>-0.8</v>
      </c>
      <c r="K85" s="4">
        <v>0</v>
      </c>
      <c r="L85" s="4">
        <v>0.2</v>
      </c>
      <c r="M85" s="9">
        <v>1</v>
      </c>
      <c r="N85" s="5">
        <v>19.2</v>
      </c>
      <c r="O85" s="6">
        <v>3</v>
      </c>
      <c r="P85" s="6">
        <v>0</v>
      </c>
      <c r="Q85" s="6"/>
      <c r="R85" s="6">
        <f t="shared" si="2"/>
        <v>3</v>
      </c>
    </row>
    <row r="86" spans="1:18">
      <c r="A86" s="1">
        <v>85</v>
      </c>
      <c r="B86" s="2">
        <v>46205</v>
      </c>
      <c r="C86" s="1" t="s">
        <v>79</v>
      </c>
      <c r="D86" s="1"/>
      <c r="E86" s="1" t="s">
        <v>38</v>
      </c>
      <c r="F86" s="1" t="s">
        <v>66</v>
      </c>
      <c r="G86" s="10">
        <f>X1_X2_Inputs!E86-X1_X2_Inputs!F86</f>
        <v>-9</v>
      </c>
      <c r="H86" s="10">
        <f>X1_X2_Inputs!G86-X1_X2_Inputs!H86</f>
        <v>129</v>
      </c>
      <c r="I86" s="3">
        <v>0.4</v>
      </c>
      <c r="J86" s="3">
        <v>-0.4</v>
      </c>
      <c r="K86" s="4">
        <v>0</v>
      </c>
      <c r="L86" s="4">
        <v>-0.4</v>
      </c>
      <c r="M86" s="9">
        <v>3</v>
      </c>
      <c r="N86" s="5">
        <v>13.8</v>
      </c>
      <c r="O86" s="6">
        <v>2</v>
      </c>
      <c r="P86" s="6">
        <v>0</v>
      </c>
      <c r="Q86" s="6"/>
      <c r="R86" s="6">
        <f t="shared" si="2"/>
        <v>2</v>
      </c>
    </row>
    <row r="87" spans="1:18">
      <c r="A87" s="1">
        <v>86</v>
      </c>
      <c r="B87" s="2">
        <v>46206</v>
      </c>
      <c r="C87" s="1" t="s">
        <v>79</v>
      </c>
      <c r="D87" s="1"/>
      <c r="E87" s="1" t="s">
        <v>65</v>
      </c>
      <c r="F87" s="1" t="s">
        <v>53</v>
      </c>
      <c r="G87" s="10">
        <f>X1_X2_Inputs!E87-X1_X2_Inputs!F87</f>
        <v>-66</v>
      </c>
      <c r="H87" s="10">
        <f>X1_X2_Inputs!G87-X1_X2_Inputs!H87</f>
        <v>526</v>
      </c>
      <c r="I87" s="3">
        <v>1.6</v>
      </c>
      <c r="J87" s="3">
        <v>-0.8</v>
      </c>
      <c r="K87" s="4">
        <v>0.8</v>
      </c>
      <c r="L87" s="4">
        <v>0.2</v>
      </c>
      <c r="M87" s="9">
        <v>-1</v>
      </c>
      <c r="N87" s="5">
        <v>-5.6</v>
      </c>
      <c r="O87" s="6">
        <v>3</v>
      </c>
      <c r="P87" s="6">
        <v>2</v>
      </c>
      <c r="Q87" s="6" t="s">
        <v>82</v>
      </c>
      <c r="R87" s="6">
        <f t="shared" si="2"/>
        <v>1</v>
      </c>
    </row>
    <row r="88" spans="1:18">
      <c r="A88" s="1">
        <v>87</v>
      </c>
      <c r="B88" s="2">
        <v>46206</v>
      </c>
      <c r="C88" s="1" t="s">
        <v>79</v>
      </c>
      <c r="D88" s="1"/>
      <c r="E88" s="1" t="s">
        <v>78</v>
      </c>
      <c r="F88" s="1" t="s">
        <v>70</v>
      </c>
      <c r="G88" s="10">
        <f>X1_X2_Inputs!E88-X1_X2_Inputs!F88</f>
        <v>-60</v>
      </c>
      <c r="H88" s="10">
        <f>X1_X2_Inputs!G88-X1_X2_Inputs!H88</f>
        <v>429</v>
      </c>
      <c r="I88" s="3">
        <v>1.2</v>
      </c>
      <c r="J88" s="3">
        <v>-0.6</v>
      </c>
      <c r="K88" s="4">
        <v>0.6</v>
      </c>
      <c r="L88" s="4">
        <v>0.2</v>
      </c>
      <c r="M88" s="9">
        <v>0</v>
      </c>
      <c r="N88" s="5">
        <v>22.8</v>
      </c>
      <c r="O88" s="6">
        <v>1</v>
      </c>
      <c r="P88" s="6">
        <v>0</v>
      </c>
      <c r="Q88" s="6"/>
      <c r="R88" s="6">
        <f t="shared" si="2"/>
        <v>1</v>
      </c>
    </row>
    <row r="89" spans="1:18">
      <c r="A89" s="1">
        <v>88</v>
      </c>
      <c r="B89" s="2">
        <v>46206</v>
      </c>
      <c r="C89" s="1" t="s">
        <v>79</v>
      </c>
      <c r="D89" s="1"/>
      <c r="E89" s="1" t="s">
        <v>33</v>
      </c>
      <c r="F89" s="1" t="s">
        <v>58</v>
      </c>
      <c r="G89" s="10">
        <f>X1_X2_Inputs!E89-X1_X2_Inputs!F89</f>
        <v>-2</v>
      </c>
      <c r="H89" s="10">
        <f>X1_X2_Inputs!G89-X1_X2_Inputs!H89</f>
        <v>58</v>
      </c>
      <c r="I89" s="3">
        <v>-0.8</v>
      </c>
      <c r="J89" s="3">
        <v>-0.2</v>
      </c>
      <c r="K89" s="4">
        <v>-0.2</v>
      </c>
      <c r="L89" s="4">
        <v>0.2</v>
      </c>
      <c r="M89" s="9">
        <v>1</v>
      </c>
      <c r="N89" s="5">
        <v>-8.4</v>
      </c>
      <c r="O89" s="6">
        <v>1</v>
      </c>
      <c r="P89" s="6">
        <v>1</v>
      </c>
      <c r="Q89" s="6" t="s">
        <v>83</v>
      </c>
      <c r="R89" s="6">
        <f t="shared" si="2"/>
        <v>0</v>
      </c>
    </row>
    <row r="90" spans="1:18">
      <c r="A90" s="1">
        <v>89</v>
      </c>
      <c r="B90" s="2">
        <v>46207</v>
      </c>
      <c r="C90" s="1" t="s">
        <v>84</v>
      </c>
      <c r="D90" s="1"/>
      <c r="E90" s="1" t="s">
        <v>29</v>
      </c>
      <c r="F90" s="1" t="s">
        <v>60</v>
      </c>
      <c r="G90" s="10">
        <f>X1_X2_Inputs!E90-X1_X2_Inputs!F90</f>
        <v>38</v>
      </c>
      <c r="H90" s="10">
        <f>X1_X2_Inputs!G90-X1_X2_Inputs!H90</f>
        <v>-311</v>
      </c>
      <c r="I90" s="3">
        <v>-1.8</v>
      </c>
      <c r="J90" s="3">
        <v>0.4</v>
      </c>
      <c r="K90" s="4">
        <v>-0.6</v>
      </c>
      <c r="L90" s="4">
        <v>0.2</v>
      </c>
      <c r="M90" s="9">
        <v>1</v>
      </c>
      <c r="N90" s="5">
        <v>-0.8</v>
      </c>
      <c r="O90" s="6">
        <v>0</v>
      </c>
      <c r="P90" s="6">
        <v>1</v>
      </c>
      <c r="Q90" s="6"/>
      <c r="R90" s="6">
        <f t="shared" si="2"/>
        <v>-1</v>
      </c>
    </row>
    <row r="91" spans="1:18">
      <c r="A91" s="1">
        <v>90</v>
      </c>
      <c r="B91" s="2">
        <v>46207</v>
      </c>
      <c r="C91" s="1" t="s">
        <v>84</v>
      </c>
      <c r="D91" s="1"/>
      <c r="E91" s="1" t="s">
        <v>25</v>
      </c>
      <c r="F91" s="1" t="s">
        <v>36</v>
      </c>
      <c r="G91" s="10">
        <f>X1_X2_Inputs!E91-X1_X2_Inputs!F91</f>
        <v>23</v>
      </c>
      <c r="H91" s="10">
        <f>X1_X2_Inputs!G91-X1_X2_Inputs!H91</f>
        <v>-122</v>
      </c>
      <c r="I91" s="3">
        <v>0.4</v>
      </c>
      <c r="J91" s="3">
        <v>-0.2</v>
      </c>
      <c r="K91" s="4">
        <v>0</v>
      </c>
      <c r="L91" s="4">
        <v>0.2</v>
      </c>
      <c r="M91" s="9">
        <v>1</v>
      </c>
      <c r="N91" s="5">
        <v>17.600000000000001</v>
      </c>
      <c r="O91" s="6">
        <v>0</v>
      </c>
      <c r="P91" s="6">
        <v>3</v>
      </c>
      <c r="Q91" s="6"/>
      <c r="R91" s="6">
        <f t="shared" si="2"/>
        <v>-3</v>
      </c>
    </row>
    <row r="92" spans="1:18">
      <c r="A92" s="1">
        <v>91</v>
      </c>
      <c r="B92" s="2">
        <v>46208</v>
      </c>
      <c r="C92" s="1" t="s">
        <v>84</v>
      </c>
      <c r="D92" s="1"/>
      <c r="E92" s="1" t="s">
        <v>35</v>
      </c>
      <c r="F92" s="1" t="s">
        <v>63</v>
      </c>
      <c r="G92" s="10">
        <f>X1_X2_Inputs!E92-X1_X2_Inputs!F92</f>
        <v>-25</v>
      </c>
      <c r="H92" s="10">
        <f>X1_X2_Inputs!G92-X1_X2_Inputs!H92</f>
        <v>97</v>
      </c>
      <c r="I92" s="3">
        <v>0</v>
      </c>
      <c r="J92" s="3">
        <v>-1.2</v>
      </c>
      <c r="K92" s="4">
        <v>0.2</v>
      </c>
      <c r="L92" s="4">
        <v>0.4</v>
      </c>
      <c r="M92" s="9">
        <v>1</v>
      </c>
      <c r="N92" s="5">
        <v>12.6</v>
      </c>
      <c r="O92" s="6">
        <v>1</v>
      </c>
      <c r="P92" s="6">
        <v>2</v>
      </c>
      <c r="Q92" s="6"/>
      <c r="R92" s="6">
        <f t="shared" si="2"/>
        <v>-1</v>
      </c>
    </row>
    <row r="93" spans="1:18">
      <c r="A93" s="1">
        <v>92</v>
      </c>
      <c r="B93" s="2">
        <v>46208</v>
      </c>
      <c r="C93" s="1" t="s">
        <v>84</v>
      </c>
      <c r="D93" s="1"/>
      <c r="E93" s="1" t="s">
        <v>20</v>
      </c>
      <c r="F93" s="1" t="s">
        <v>72</v>
      </c>
      <c r="G93" s="10">
        <f>X1_X2_Inputs!E93-X1_X2_Inputs!F93</f>
        <v>10</v>
      </c>
      <c r="H93" s="10">
        <f>X1_X2_Inputs!G93-X1_X2_Inputs!H93</f>
        <v>-103</v>
      </c>
      <c r="I93" s="3">
        <v>0.4</v>
      </c>
      <c r="J93" s="3">
        <v>-0.4</v>
      </c>
      <c r="K93" s="4">
        <v>0.2</v>
      </c>
      <c r="L93" s="4">
        <v>0.2</v>
      </c>
      <c r="M93" s="9">
        <v>1</v>
      </c>
      <c r="N93" s="5">
        <v>-5.6</v>
      </c>
      <c r="O93" s="6">
        <v>2</v>
      </c>
      <c r="P93" s="6">
        <v>3</v>
      </c>
      <c r="Q93" s="6"/>
      <c r="R93" s="6">
        <f t="shared" si="2"/>
        <v>-1</v>
      </c>
    </row>
    <row r="94" spans="1:18">
      <c r="A94" s="1">
        <v>93</v>
      </c>
      <c r="B94" s="2">
        <v>46209</v>
      </c>
      <c r="C94" s="1" t="s">
        <v>84</v>
      </c>
      <c r="D94" s="1"/>
      <c r="E94" s="1" t="s">
        <v>75</v>
      </c>
      <c r="F94" s="1" t="s">
        <v>52</v>
      </c>
      <c r="G94" s="10">
        <f>X1_X2_Inputs!E94-X1_X2_Inputs!F94</f>
        <v>3</v>
      </c>
      <c r="H94" s="10">
        <f>X1_X2_Inputs!G94-X1_X2_Inputs!H94</f>
        <v>-146</v>
      </c>
      <c r="I94" s="3">
        <v>-0.2</v>
      </c>
      <c r="J94" s="3">
        <v>0.4</v>
      </c>
      <c r="K94" s="4">
        <v>-0.2</v>
      </c>
      <c r="L94" s="4">
        <v>-0.4</v>
      </c>
      <c r="M94" s="9">
        <v>0</v>
      </c>
      <c r="N94" s="5">
        <v>-15</v>
      </c>
      <c r="O94" s="6">
        <v>0</v>
      </c>
      <c r="P94" s="6">
        <v>1</v>
      </c>
      <c r="Q94" s="6"/>
      <c r="R94" s="6">
        <f t="shared" si="2"/>
        <v>-1</v>
      </c>
    </row>
    <row r="95" spans="1:18">
      <c r="A95" s="1">
        <v>94</v>
      </c>
      <c r="B95" s="2">
        <v>46209</v>
      </c>
      <c r="C95" s="1" t="s">
        <v>84</v>
      </c>
      <c r="D95" s="1"/>
      <c r="E95" s="1" t="s">
        <v>28</v>
      </c>
      <c r="F95" s="1" t="s">
        <v>57</v>
      </c>
      <c r="G95" s="10">
        <f>X1_X2_Inputs!E95-X1_X2_Inputs!F95</f>
        <v>8</v>
      </c>
      <c r="H95" s="10">
        <f>X1_X2_Inputs!G95-X1_X2_Inputs!H95</f>
        <v>-112</v>
      </c>
      <c r="I95" s="3">
        <v>-0.6</v>
      </c>
      <c r="J95" s="3">
        <v>0.4</v>
      </c>
      <c r="K95" s="4">
        <v>0</v>
      </c>
      <c r="L95" s="4">
        <v>0</v>
      </c>
      <c r="M95" s="9">
        <v>0</v>
      </c>
      <c r="N95" s="5">
        <v>-5.8</v>
      </c>
      <c r="O95" s="6">
        <v>1</v>
      </c>
      <c r="P95" s="6">
        <v>4</v>
      </c>
      <c r="Q95" s="6"/>
      <c r="R95" s="6">
        <f t="shared" si="2"/>
        <v>-3</v>
      </c>
    </row>
    <row r="96" spans="1:18">
      <c r="A96" s="1">
        <v>95</v>
      </c>
      <c r="B96" s="2">
        <v>46210</v>
      </c>
      <c r="C96" s="1" t="s">
        <v>84</v>
      </c>
      <c r="D96" s="1"/>
      <c r="E96" s="1" t="s">
        <v>65</v>
      </c>
      <c r="F96" s="1" t="s">
        <v>58</v>
      </c>
      <c r="G96" s="10">
        <f>X1_X2_Inputs!E96-X1_X2_Inputs!F96</f>
        <v>-28</v>
      </c>
      <c r="H96" s="10">
        <f>X1_X2_Inputs!G96-X1_X2_Inputs!H96</f>
        <v>404</v>
      </c>
      <c r="I96" s="3">
        <v>1.4</v>
      </c>
      <c r="J96" s="3">
        <v>-0.6</v>
      </c>
      <c r="K96" s="4">
        <v>0.8</v>
      </c>
      <c r="L96" s="4">
        <v>0.6</v>
      </c>
      <c r="M96" s="9">
        <v>0</v>
      </c>
      <c r="N96" s="5">
        <v>22</v>
      </c>
      <c r="O96" s="6">
        <v>3</v>
      </c>
      <c r="P96" s="6">
        <v>2</v>
      </c>
      <c r="Q96" s="6"/>
      <c r="R96" s="6">
        <f t="shared" si="2"/>
        <v>1</v>
      </c>
    </row>
    <row r="97" spans="1:18">
      <c r="A97" s="1">
        <v>96</v>
      </c>
      <c r="B97" s="2">
        <v>46210</v>
      </c>
      <c r="C97" s="1" t="s">
        <v>84</v>
      </c>
      <c r="D97" s="1"/>
      <c r="E97" s="1" t="s">
        <v>38</v>
      </c>
      <c r="F97" s="1" t="s">
        <v>78</v>
      </c>
      <c r="G97" s="10">
        <f>X1_X2_Inputs!E97-X1_X2_Inputs!F97</f>
        <v>6</v>
      </c>
      <c r="H97" s="10">
        <f>X1_X2_Inputs!G97-X1_X2_Inputs!H97</f>
        <v>-66</v>
      </c>
      <c r="I97" s="3">
        <v>0.6</v>
      </c>
      <c r="J97" s="3">
        <v>0.6</v>
      </c>
      <c r="K97" s="4">
        <v>-0.2</v>
      </c>
      <c r="L97" s="4">
        <v>-0.6</v>
      </c>
      <c r="M97" s="9">
        <v>1</v>
      </c>
      <c r="N97" s="5">
        <v>-6.4</v>
      </c>
      <c r="O97" s="6">
        <v>0</v>
      </c>
      <c r="P97" s="6">
        <v>0</v>
      </c>
      <c r="Q97" s="6" t="s">
        <v>85</v>
      </c>
      <c r="R97" s="6">
        <f t="shared" si="2"/>
        <v>0</v>
      </c>
    </row>
    <row r="98" spans="1:18">
      <c r="A98" s="1">
        <v>97</v>
      </c>
      <c r="B98" s="2">
        <v>46212</v>
      </c>
      <c r="C98" s="1" t="s">
        <v>86</v>
      </c>
      <c r="D98" s="1"/>
      <c r="E98" s="1" t="s">
        <v>60</v>
      </c>
      <c r="F98" s="1" t="s">
        <v>36</v>
      </c>
      <c r="G98" s="10">
        <f>X1_X2_Inputs!E98-X1_X2_Inputs!F98</f>
        <v>-4</v>
      </c>
      <c r="H98" s="10">
        <f>X1_X2_Inputs!G98-X1_X2_Inputs!H98</f>
        <v>222</v>
      </c>
      <c r="I98" s="3">
        <v>0.8</v>
      </c>
      <c r="J98" s="3">
        <v>-0.4</v>
      </c>
      <c r="K98" s="4">
        <v>0.4</v>
      </c>
      <c r="L98" s="4">
        <v>0.2</v>
      </c>
      <c r="M98" s="9">
        <v>0</v>
      </c>
      <c r="N98" s="5">
        <v>2.6</v>
      </c>
      <c r="O98" s="6">
        <v>2</v>
      </c>
      <c r="P98" s="6">
        <v>0</v>
      </c>
      <c r="Q98" s="6"/>
      <c r="R98" s="6">
        <f t="shared" ref="R98:R105" si="3">O98-P98</f>
        <v>2</v>
      </c>
    </row>
    <row r="99" spans="1:18">
      <c r="A99" s="1">
        <v>98</v>
      </c>
      <c r="B99" s="2">
        <v>46213</v>
      </c>
      <c r="C99" s="1" t="s">
        <v>86</v>
      </c>
      <c r="D99" s="1"/>
      <c r="E99" s="1" t="s">
        <v>52</v>
      </c>
      <c r="F99" s="1" t="s">
        <v>57</v>
      </c>
      <c r="G99" s="10">
        <f>X1_X2_Inputs!E99-X1_X2_Inputs!F99</f>
        <v>-7</v>
      </c>
      <c r="H99" s="10">
        <f>X1_X2_Inputs!G99-X1_X2_Inputs!H99</f>
        <v>216</v>
      </c>
      <c r="I99" s="3">
        <v>-0.8</v>
      </c>
      <c r="J99" s="3">
        <v>-1</v>
      </c>
      <c r="K99" s="4">
        <v>0.2</v>
      </c>
      <c r="L99" s="4">
        <v>0.8</v>
      </c>
      <c r="M99" s="9">
        <v>0</v>
      </c>
      <c r="N99" s="5">
        <v>1.4</v>
      </c>
      <c r="O99" s="6">
        <v>2</v>
      </c>
      <c r="P99" s="6">
        <v>1</v>
      </c>
      <c r="Q99" s="6"/>
      <c r="R99" s="6">
        <f t="shared" si="3"/>
        <v>1</v>
      </c>
    </row>
    <row r="100" spans="1:18">
      <c r="A100" s="1">
        <v>99</v>
      </c>
      <c r="B100" s="2">
        <v>46214</v>
      </c>
      <c r="C100" s="1" t="s">
        <v>86</v>
      </c>
      <c r="D100" s="1"/>
      <c r="E100" s="1" t="s">
        <v>63</v>
      </c>
      <c r="F100" s="1" t="s">
        <v>72</v>
      </c>
      <c r="G100" s="10">
        <f>X1_X2_Inputs!E100-X1_X2_Inputs!F100</f>
        <v>27</v>
      </c>
      <c r="H100" s="10">
        <f>X1_X2_Inputs!G100-X1_X2_Inputs!H100</f>
        <v>-104</v>
      </c>
      <c r="I100" s="3">
        <v>0.2</v>
      </c>
      <c r="J100" s="3">
        <v>0.8</v>
      </c>
      <c r="K100" s="4">
        <v>0</v>
      </c>
      <c r="L100" s="4">
        <v>-0.4</v>
      </c>
      <c r="M100" s="9">
        <v>0</v>
      </c>
      <c r="N100" s="5">
        <v>-12.8</v>
      </c>
      <c r="O100" s="6">
        <v>1</v>
      </c>
      <c r="P100" s="6">
        <v>2</v>
      </c>
      <c r="Q100" s="6" t="s">
        <v>82</v>
      </c>
      <c r="R100" s="6">
        <f t="shared" si="3"/>
        <v>-1</v>
      </c>
    </row>
    <row r="101" spans="1:18">
      <c r="A101" s="1">
        <v>100</v>
      </c>
      <c r="B101" s="2">
        <v>46214</v>
      </c>
      <c r="C101" s="1" t="s">
        <v>86</v>
      </c>
      <c r="D101" s="1"/>
      <c r="E101" s="1" t="s">
        <v>65</v>
      </c>
      <c r="F101" s="1" t="s">
        <v>38</v>
      </c>
      <c r="G101" s="10">
        <f>X1_X2_Inputs!E101-X1_X2_Inputs!F101</f>
        <v>-18</v>
      </c>
      <c r="H101" s="10">
        <f>X1_X2_Inputs!G101-X1_X2_Inputs!H101</f>
        <v>207</v>
      </c>
      <c r="I101" s="3">
        <v>1</v>
      </c>
      <c r="J101" s="3">
        <v>0.4</v>
      </c>
      <c r="K101" s="4">
        <v>0.4</v>
      </c>
      <c r="L101" s="4">
        <v>0</v>
      </c>
      <c r="M101" s="9">
        <v>0</v>
      </c>
      <c r="N101" s="5">
        <v>4</v>
      </c>
      <c r="O101" s="6">
        <v>3</v>
      </c>
      <c r="P101" s="6">
        <v>1</v>
      </c>
      <c r="Q101" s="6" t="s">
        <v>82</v>
      </c>
      <c r="R101" s="6">
        <f t="shared" si="3"/>
        <v>2</v>
      </c>
    </row>
    <row r="102" spans="1:18">
      <c r="A102" s="1">
        <v>101</v>
      </c>
      <c r="B102" s="2">
        <v>46217</v>
      </c>
      <c r="C102" s="1" t="s">
        <v>87</v>
      </c>
      <c r="D102" s="1"/>
      <c r="E102" s="1" t="s">
        <v>60</v>
      </c>
      <c r="F102" s="1" t="s">
        <v>52</v>
      </c>
      <c r="G102" s="10">
        <f>X1_X2_Inputs!E102-X1_X2_Inputs!F102</f>
        <v>1</v>
      </c>
      <c r="H102" s="10">
        <f>X1_X2_Inputs!G102-X1_X2_Inputs!H102</f>
        <v>-27</v>
      </c>
      <c r="I102" s="3">
        <v>0.4</v>
      </c>
      <c r="J102" s="3">
        <v>0</v>
      </c>
      <c r="K102" s="4">
        <v>0</v>
      </c>
      <c r="L102" s="4">
        <v>0</v>
      </c>
      <c r="M102" s="9">
        <v>1</v>
      </c>
      <c r="N102" s="5">
        <v>11.8</v>
      </c>
      <c r="O102" s="6">
        <v>0</v>
      </c>
      <c r="P102" s="6">
        <v>2</v>
      </c>
      <c r="Q102" s="6"/>
      <c r="R102" s="6">
        <f t="shared" si="3"/>
        <v>-2</v>
      </c>
    </row>
    <row r="103" spans="1:18">
      <c r="A103" s="1">
        <v>102</v>
      </c>
      <c r="B103" s="2">
        <v>46218</v>
      </c>
      <c r="C103" s="1" t="s">
        <v>87</v>
      </c>
      <c r="D103" s="1"/>
      <c r="E103" s="1" t="s">
        <v>72</v>
      </c>
      <c r="F103" s="1" t="s">
        <v>65</v>
      </c>
      <c r="G103" s="10">
        <f>X1_X2_Inputs!E103-X1_X2_Inputs!F103</f>
        <v>3</v>
      </c>
      <c r="H103" s="10">
        <f>X1_X2_Inputs!G103-X1_X2_Inputs!H103</f>
        <v>-80</v>
      </c>
      <c r="I103" s="3">
        <v>-1</v>
      </c>
      <c r="J103" s="3">
        <v>-0.4</v>
      </c>
      <c r="K103" s="4">
        <v>-0.2</v>
      </c>
      <c r="L103" s="4">
        <v>0.2</v>
      </c>
      <c r="M103" s="9">
        <v>0</v>
      </c>
      <c r="N103" s="5">
        <v>-0.8</v>
      </c>
      <c r="O103" s="6">
        <v>1</v>
      </c>
      <c r="P103" s="6">
        <v>2</v>
      </c>
      <c r="Q103" s="6"/>
      <c r="R103" s="6">
        <f t="shared" si="3"/>
        <v>-1</v>
      </c>
    </row>
    <row r="104" spans="1:18">
      <c r="A104" s="1">
        <v>103</v>
      </c>
      <c r="B104" s="2">
        <v>46221</v>
      </c>
      <c r="C104" s="1" t="s">
        <v>88</v>
      </c>
      <c r="D104" s="1"/>
      <c r="E104" s="1" t="s">
        <v>60</v>
      </c>
      <c r="F104" s="1" t="s">
        <v>72</v>
      </c>
      <c r="G104" s="10">
        <f>X1_X2_Inputs!E104-X1_X2_Inputs!F104</f>
        <v>-1</v>
      </c>
      <c r="H104" s="10">
        <f>X1_X2_Inputs!G104-X1_X2_Inputs!H104</f>
        <v>47</v>
      </c>
      <c r="I104" s="3">
        <v>0</v>
      </c>
      <c r="J104" s="3">
        <v>-0.6</v>
      </c>
      <c r="K104" s="4">
        <v>0</v>
      </c>
      <c r="L104" s="4">
        <v>0.4</v>
      </c>
      <c r="M104" s="9">
        <v>1</v>
      </c>
      <c r="N104" s="5">
        <v>-1.4</v>
      </c>
      <c r="O104" s="6">
        <v>4</v>
      </c>
      <c r="P104" s="6">
        <v>6</v>
      </c>
      <c r="Q104" s="6"/>
      <c r="R104" s="6">
        <f t="shared" si="3"/>
        <v>-2</v>
      </c>
    </row>
    <row r="105" spans="1:18">
      <c r="A105" s="1">
        <v>104</v>
      </c>
      <c r="B105" s="2">
        <v>46222</v>
      </c>
      <c r="C105" s="1" t="s">
        <v>89</v>
      </c>
      <c r="D105" s="1"/>
      <c r="E105" s="1" t="s">
        <v>52</v>
      </c>
      <c r="F105" s="1" t="s">
        <v>65</v>
      </c>
      <c r="G105" s="10">
        <f>X1_X2_Inputs!E105-X1_X2_Inputs!F105</f>
        <v>1</v>
      </c>
      <c r="H105" s="10">
        <f>X1_X2_Inputs!G105-X1_X2_Inputs!H105</f>
        <v>32</v>
      </c>
      <c r="I105" s="3">
        <v>-1</v>
      </c>
      <c r="J105" s="3">
        <v>-1.2</v>
      </c>
      <c r="K105" s="4">
        <v>0</v>
      </c>
      <c r="L105" s="4">
        <v>0.8</v>
      </c>
      <c r="M105" s="9">
        <v>1</v>
      </c>
      <c r="N105" s="5">
        <v>-25</v>
      </c>
      <c r="O105" s="6">
        <v>1</v>
      </c>
      <c r="P105" s="6">
        <v>0</v>
      </c>
      <c r="Q105" s="6" t="s">
        <v>82</v>
      </c>
      <c r="R105" s="6">
        <f t="shared" si="3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Normal="100" zoomScaleSheetLayoutView="100" workbookViewId="0"/>
  </sheetViews>
  <sheetFormatPr defaultColWidth="8.875" defaultRowHeight="14.25"/>
  <cols>
    <col min="1" max="1" width="29" customWidth="1"/>
    <col min="2" max="2" width="95" customWidth="1"/>
  </cols>
  <sheetData>
    <row r="1" spans="1:2" ht="15">
      <c r="A1" s="22" t="s">
        <v>90</v>
      </c>
      <c r="B1" s="22" t="s">
        <v>91</v>
      </c>
    </row>
    <row r="2" spans="1:2">
      <c r="A2" s="7" t="s">
        <v>92</v>
      </c>
      <c r="B2" s="7" t="s">
        <v>93</v>
      </c>
    </row>
    <row r="3" spans="1:2">
      <c r="A3" s="7" t="s">
        <v>94</v>
      </c>
      <c r="B3" s="7" t="s">
        <v>95</v>
      </c>
    </row>
    <row r="4" spans="1:2">
      <c r="A4" s="7" t="s">
        <v>96</v>
      </c>
      <c r="B4" s="7" t="s">
        <v>97</v>
      </c>
    </row>
    <row r="5" spans="1:2">
      <c r="A5" s="7" t="s">
        <v>98</v>
      </c>
      <c r="B5" s="7" t="s">
        <v>99</v>
      </c>
    </row>
    <row r="6" spans="1:2">
      <c r="A6" s="7" t="s">
        <v>100</v>
      </c>
      <c r="B6" s="7" t="s">
        <v>101</v>
      </c>
    </row>
    <row r="7" spans="1:2">
      <c r="A7" s="7" t="s">
        <v>102</v>
      </c>
      <c r="B7" s="7" t="s">
        <v>103</v>
      </c>
    </row>
    <row r="8" spans="1:2">
      <c r="A8" s="7" t="s">
        <v>104</v>
      </c>
      <c r="B8" s="7" t="s">
        <v>105</v>
      </c>
    </row>
    <row r="9" spans="1:2">
      <c r="A9" s="7" t="s">
        <v>106</v>
      </c>
      <c r="B9" s="7" t="s">
        <v>107</v>
      </c>
    </row>
    <row r="10" spans="1:2" ht="28.5">
      <c r="A10" s="7" t="s">
        <v>108</v>
      </c>
      <c r="B10" s="7" t="s">
        <v>109</v>
      </c>
    </row>
    <row r="11" spans="1:2" ht="28.5">
      <c r="A11" s="7" t="s">
        <v>0</v>
      </c>
      <c r="B11" s="7" t="s">
        <v>110</v>
      </c>
    </row>
    <row r="12" spans="1:2">
      <c r="A12" s="7" t="s">
        <v>111</v>
      </c>
      <c r="B12" s="7" t="s">
        <v>112</v>
      </c>
    </row>
    <row r="13" spans="1:2" ht="49.35" customHeight="1">
      <c r="A13" s="8" t="s">
        <v>113</v>
      </c>
      <c r="B13" s="7" t="s">
        <v>114</v>
      </c>
    </row>
    <row r="14" spans="1:2" ht="49.35" customHeight="1">
      <c r="A14" s="8" t="s">
        <v>115</v>
      </c>
      <c r="B14" s="7" t="s">
        <v>116</v>
      </c>
    </row>
    <row r="15" spans="1:2" ht="49.35" customHeight="1">
      <c r="A15" s="8" t="s">
        <v>117</v>
      </c>
      <c r="B15" s="7" t="s">
        <v>118</v>
      </c>
    </row>
    <row r="16" spans="1:2" ht="49.35" customHeight="1">
      <c r="A16" s="8" t="s">
        <v>119</v>
      </c>
      <c r="B16" s="7" t="s">
        <v>120</v>
      </c>
    </row>
    <row r="17" spans="1:2" ht="49.35" customHeight="1">
      <c r="A17" s="8" t="s">
        <v>121</v>
      </c>
      <c r="B17" s="7" t="s">
        <v>122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6" customWidth="1"/>
    <col min="3" max="4" width="25" customWidth="1"/>
    <col min="5" max="8" width="17" customWidth="1"/>
    <col min="9" max="9" width="23" customWidth="1"/>
    <col min="11" max="11" width="25" customWidth="1"/>
    <col min="12" max="12" width="95" customWidth="1"/>
  </cols>
  <sheetData>
    <row r="1" spans="1:12" ht="27.95" customHeight="1">
      <c r="A1" s="12" t="s">
        <v>0</v>
      </c>
      <c r="B1" s="12" t="s">
        <v>1</v>
      </c>
      <c r="C1" s="12" t="s">
        <v>4</v>
      </c>
      <c r="D1" s="12" t="s">
        <v>5</v>
      </c>
      <c r="E1" s="12" t="s">
        <v>123</v>
      </c>
      <c r="F1" s="12" t="s">
        <v>124</v>
      </c>
      <c r="G1" s="12" t="s">
        <v>125</v>
      </c>
      <c r="H1" s="12" t="s">
        <v>126</v>
      </c>
      <c r="I1" s="12" t="s">
        <v>127</v>
      </c>
      <c r="K1" s="11" t="s">
        <v>128</v>
      </c>
      <c r="L1" s="11" t="s">
        <v>129</v>
      </c>
    </row>
    <row r="2" spans="1:12" ht="30" customHeight="1">
      <c r="A2">
        <v>1</v>
      </c>
      <c r="B2" s="13">
        <v>46184</v>
      </c>
      <c r="C2" t="s">
        <v>20</v>
      </c>
      <c r="D2" t="s">
        <v>21</v>
      </c>
      <c r="E2" s="14">
        <v>14</v>
      </c>
      <c r="F2" s="14">
        <v>60</v>
      </c>
      <c r="G2" s="14">
        <v>1875</v>
      </c>
      <c r="H2" s="14">
        <v>1517</v>
      </c>
      <c r="I2" s="20" t="s">
        <v>130</v>
      </c>
      <c r="K2" t="s">
        <v>131</v>
      </c>
      <c r="L2" s="7" t="s">
        <v>132</v>
      </c>
    </row>
    <row r="3" spans="1:12" ht="30" customHeight="1">
      <c r="A3">
        <v>2</v>
      </c>
      <c r="B3" s="13">
        <v>46184</v>
      </c>
      <c r="C3" t="s">
        <v>22</v>
      </c>
      <c r="D3" t="s">
        <v>23</v>
      </c>
      <c r="E3" s="14">
        <v>25</v>
      </c>
      <c r="F3" s="14">
        <v>40</v>
      </c>
      <c r="G3" s="14">
        <v>1758</v>
      </c>
      <c r="H3" s="14">
        <v>1740</v>
      </c>
      <c r="I3" s="20" t="s">
        <v>130</v>
      </c>
      <c r="K3" t="s">
        <v>133</v>
      </c>
      <c r="L3" s="7" t="s">
        <v>134</v>
      </c>
    </row>
    <row r="4" spans="1:12" ht="30" customHeight="1">
      <c r="A4">
        <v>3</v>
      </c>
      <c r="B4" s="13">
        <v>46185</v>
      </c>
      <c r="C4" t="s">
        <v>25</v>
      </c>
      <c r="D4" t="s">
        <v>26</v>
      </c>
      <c r="E4" s="14">
        <v>30</v>
      </c>
      <c r="F4" s="14">
        <v>64</v>
      </c>
      <c r="G4" s="14">
        <v>1788</v>
      </c>
      <c r="H4" s="14">
        <v>1595</v>
      </c>
      <c r="I4" s="20" t="s">
        <v>130</v>
      </c>
      <c r="K4" t="s">
        <v>135</v>
      </c>
      <c r="L4" s="7" t="s">
        <v>136</v>
      </c>
    </row>
    <row r="5" spans="1:12" ht="30" customHeight="1">
      <c r="A5">
        <v>4</v>
      </c>
      <c r="B5" s="13">
        <v>46185</v>
      </c>
      <c r="C5" t="s">
        <v>28</v>
      </c>
      <c r="D5" t="s">
        <v>29</v>
      </c>
      <c r="E5" s="14">
        <v>17</v>
      </c>
      <c r="F5" s="14">
        <v>41</v>
      </c>
      <c r="G5" s="14">
        <v>1726</v>
      </c>
      <c r="H5" s="14">
        <v>1834</v>
      </c>
      <c r="I5" s="20" t="s">
        <v>130</v>
      </c>
      <c r="K5" t="s">
        <v>137</v>
      </c>
      <c r="L5" s="7" t="s">
        <v>138</v>
      </c>
    </row>
    <row r="6" spans="1:12" ht="30" customHeight="1">
      <c r="A6">
        <v>5</v>
      </c>
      <c r="B6" s="13">
        <v>46186</v>
      </c>
      <c r="C6" t="s">
        <v>31</v>
      </c>
      <c r="D6" t="s">
        <v>32</v>
      </c>
      <c r="E6" s="14">
        <v>83</v>
      </c>
      <c r="F6" s="14">
        <v>42</v>
      </c>
      <c r="G6" s="14">
        <v>1548</v>
      </c>
      <c r="H6" s="14">
        <v>1782</v>
      </c>
      <c r="I6" s="20" t="s">
        <v>130</v>
      </c>
      <c r="K6" t="s">
        <v>139</v>
      </c>
      <c r="L6" s="7" t="s">
        <v>140</v>
      </c>
    </row>
    <row r="7" spans="1:12" ht="30" customHeight="1">
      <c r="A7">
        <v>6</v>
      </c>
      <c r="B7" s="13">
        <v>46186</v>
      </c>
      <c r="C7" t="s">
        <v>33</v>
      </c>
      <c r="D7" t="s">
        <v>34</v>
      </c>
      <c r="E7" s="14">
        <v>27</v>
      </c>
      <c r="F7" s="14">
        <v>22</v>
      </c>
      <c r="G7" s="14">
        <v>1777</v>
      </c>
      <c r="H7" s="14">
        <v>1911</v>
      </c>
      <c r="I7" s="20" t="s">
        <v>130</v>
      </c>
      <c r="K7" t="s">
        <v>141</v>
      </c>
      <c r="L7" s="7" t="s">
        <v>142</v>
      </c>
    </row>
    <row r="8" spans="1:12" ht="30" customHeight="1">
      <c r="A8">
        <v>7</v>
      </c>
      <c r="B8" s="13">
        <v>46186</v>
      </c>
      <c r="C8" t="s">
        <v>35</v>
      </c>
      <c r="D8" t="s">
        <v>36</v>
      </c>
      <c r="E8" s="14">
        <v>6</v>
      </c>
      <c r="F8" s="14">
        <v>7</v>
      </c>
      <c r="G8" s="14">
        <v>1991</v>
      </c>
      <c r="H8" s="14">
        <v>1827</v>
      </c>
      <c r="I8" s="20" t="s">
        <v>130</v>
      </c>
      <c r="K8" t="s">
        <v>143</v>
      </c>
      <c r="L8" s="7" t="s">
        <v>144</v>
      </c>
    </row>
    <row r="9" spans="1:12" ht="30" customHeight="1">
      <c r="A9">
        <v>8</v>
      </c>
      <c r="B9" s="13">
        <v>46186</v>
      </c>
      <c r="C9" t="s">
        <v>37</v>
      </c>
      <c r="D9" t="s">
        <v>38</v>
      </c>
      <c r="E9" s="14">
        <v>56</v>
      </c>
      <c r="F9" s="14">
        <v>19</v>
      </c>
      <c r="G9" s="14">
        <v>1421</v>
      </c>
      <c r="H9" s="14">
        <v>1891</v>
      </c>
      <c r="I9" s="20" t="s">
        <v>130</v>
      </c>
      <c r="K9" t="s">
        <v>145</v>
      </c>
      <c r="L9" s="7" t="s">
        <v>146</v>
      </c>
    </row>
    <row r="10" spans="1:12" ht="30" customHeight="1">
      <c r="A10">
        <v>9</v>
      </c>
      <c r="B10" s="13">
        <v>46187</v>
      </c>
      <c r="C10" t="s">
        <v>40</v>
      </c>
      <c r="D10" t="s">
        <v>41</v>
      </c>
      <c r="E10" s="14">
        <v>33</v>
      </c>
      <c r="F10" s="14">
        <v>23</v>
      </c>
      <c r="G10" s="14">
        <v>1695</v>
      </c>
      <c r="H10" s="14">
        <v>1938</v>
      </c>
      <c r="I10" s="20" t="s">
        <v>130</v>
      </c>
      <c r="K10" t="s">
        <v>147</v>
      </c>
      <c r="L10" s="7" t="s">
        <v>148</v>
      </c>
    </row>
    <row r="11" spans="1:12" ht="18.95" customHeight="1">
      <c r="A11">
        <v>10</v>
      </c>
      <c r="B11" s="13">
        <v>46187</v>
      </c>
      <c r="C11" t="s">
        <v>42</v>
      </c>
      <c r="D11" t="s">
        <v>43</v>
      </c>
      <c r="E11" s="14">
        <v>10</v>
      </c>
      <c r="F11" s="14">
        <v>82</v>
      </c>
      <c r="G11" s="14">
        <v>1932</v>
      </c>
      <c r="H11" s="14">
        <v>1434</v>
      </c>
      <c r="I11" s="20" t="s">
        <v>130</v>
      </c>
    </row>
    <row r="12" spans="1:12" ht="18.95" customHeight="1">
      <c r="A12">
        <v>11</v>
      </c>
      <c r="B12" s="13">
        <v>46187</v>
      </c>
      <c r="C12" t="s">
        <v>45</v>
      </c>
      <c r="D12" t="s">
        <v>46</v>
      </c>
      <c r="E12" s="14">
        <v>8</v>
      </c>
      <c r="F12" s="14">
        <v>18</v>
      </c>
      <c r="G12" s="14">
        <v>1948</v>
      </c>
      <c r="H12" s="14">
        <v>1906</v>
      </c>
      <c r="I12" s="20" t="s">
        <v>130</v>
      </c>
    </row>
    <row r="13" spans="1:12" ht="18.95" customHeight="1">
      <c r="A13">
        <v>12</v>
      </c>
      <c r="B13" s="13">
        <v>46187</v>
      </c>
      <c r="C13" t="s">
        <v>47</v>
      </c>
      <c r="D13" t="s">
        <v>48</v>
      </c>
      <c r="E13" s="14">
        <v>38</v>
      </c>
      <c r="F13" s="14">
        <v>45</v>
      </c>
      <c r="G13" s="14">
        <v>1712</v>
      </c>
      <c r="H13" s="14">
        <v>1628</v>
      </c>
      <c r="I13" s="20" t="s">
        <v>130</v>
      </c>
    </row>
    <row r="14" spans="1:12" ht="18.95" customHeight="1">
      <c r="A14">
        <v>13</v>
      </c>
      <c r="B14" s="13">
        <v>46188</v>
      </c>
      <c r="C14" t="s">
        <v>50</v>
      </c>
      <c r="D14" t="s">
        <v>51</v>
      </c>
      <c r="E14" s="14">
        <v>61</v>
      </c>
      <c r="F14" s="14">
        <v>16</v>
      </c>
      <c r="G14" s="14">
        <v>1576</v>
      </c>
      <c r="H14" s="14">
        <v>1892</v>
      </c>
      <c r="I14" s="20" t="s">
        <v>130</v>
      </c>
    </row>
    <row r="15" spans="1:12" ht="18.95" customHeight="1">
      <c r="A15">
        <v>14</v>
      </c>
      <c r="B15" s="13">
        <v>46188</v>
      </c>
      <c r="C15" t="s">
        <v>52</v>
      </c>
      <c r="D15" t="s">
        <v>53</v>
      </c>
      <c r="E15" s="14">
        <v>2</v>
      </c>
      <c r="F15" s="14">
        <v>67</v>
      </c>
      <c r="G15" s="14">
        <v>2157</v>
      </c>
      <c r="H15" s="14">
        <v>1578</v>
      </c>
      <c r="I15" s="20" t="s">
        <v>130</v>
      </c>
    </row>
    <row r="16" spans="1:12" ht="18.95" customHeight="1">
      <c r="A16">
        <v>15</v>
      </c>
      <c r="B16" s="13">
        <v>46188</v>
      </c>
      <c r="C16" t="s">
        <v>55</v>
      </c>
      <c r="D16" t="s">
        <v>56</v>
      </c>
      <c r="E16" s="14">
        <v>20</v>
      </c>
      <c r="F16" s="14">
        <v>85</v>
      </c>
      <c r="G16" s="14">
        <v>1772</v>
      </c>
      <c r="H16" s="14">
        <v>1562</v>
      </c>
      <c r="I16" s="20" t="s">
        <v>130</v>
      </c>
    </row>
    <row r="17" spans="1:9" ht="18.95" customHeight="1">
      <c r="A17">
        <v>16</v>
      </c>
      <c r="B17" s="13">
        <v>46188</v>
      </c>
      <c r="C17" t="s">
        <v>57</v>
      </c>
      <c r="D17" t="s">
        <v>58</v>
      </c>
      <c r="E17" s="14">
        <v>9</v>
      </c>
      <c r="F17" s="14">
        <v>29</v>
      </c>
      <c r="G17" s="14">
        <v>1894</v>
      </c>
      <c r="H17" s="14">
        <v>1696</v>
      </c>
      <c r="I17" s="20" t="s">
        <v>130</v>
      </c>
    </row>
    <row r="18" spans="1:9" ht="18.95" customHeight="1">
      <c r="A18">
        <v>17</v>
      </c>
      <c r="B18" s="13">
        <v>46189</v>
      </c>
      <c r="C18" t="s">
        <v>60</v>
      </c>
      <c r="D18" t="s">
        <v>61</v>
      </c>
      <c r="E18" s="14">
        <v>3</v>
      </c>
      <c r="F18" s="14">
        <v>15</v>
      </c>
      <c r="G18" s="14">
        <v>2063</v>
      </c>
      <c r="H18" s="14">
        <v>1860</v>
      </c>
      <c r="I18" s="20" t="s">
        <v>130</v>
      </c>
    </row>
    <row r="19" spans="1:9" ht="18.95" customHeight="1">
      <c r="A19">
        <v>18</v>
      </c>
      <c r="B19" s="13">
        <v>46189</v>
      </c>
      <c r="C19" t="s">
        <v>62</v>
      </c>
      <c r="D19" t="s">
        <v>63</v>
      </c>
      <c r="E19" s="14">
        <v>57</v>
      </c>
      <c r="F19" s="14">
        <v>31</v>
      </c>
      <c r="G19" s="14">
        <v>1607</v>
      </c>
      <c r="H19" s="14">
        <v>1914</v>
      </c>
      <c r="I19" s="20" t="s">
        <v>130</v>
      </c>
    </row>
    <row r="20" spans="1:9" ht="18.95" customHeight="1">
      <c r="A20">
        <v>19</v>
      </c>
      <c r="B20" s="13">
        <v>46189</v>
      </c>
      <c r="C20" t="s">
        <v>65</v>
      </c>
      <c r="D20" t="s">
        <v>66</v>
      </c>
      <c r="E20" s="14">
        <v>1</v>
      </c>
      <c r="F20" s="14">
        <v>28</v>
      </c>
      <c r="G20" s="14">
        <v>2115</v>
      </c>
      <c r="H20" s="14">
        <v>1772</v>
      </c>
      <c r="I20" s="20" t="s">
        <v>130</v>
      </c>
    </row>
    <row r="21" spans="1:9" ht="18.95" customHeight="1">
      <c r="A21">
        <v>20</v>
      </c>
      <c r="B21" s="13">
        <v>46189</v>
      </c>
      <c r="C21" t="s">
        <v>67</v>
      </c>
      <c r="D21" t="s">
        <v>68</v>
      </c>
      <c r="E21" s="14">
        <v>24</v>
      </c>
      <c r="F21" s="14">
        <v>63</v>
      </c>
      <c r="G21" s="14">
        <v>1830</v>
      </c>
      <c r="H21" s="14">
        <v>1680</v>
      </c>
      <c r="I21" s="20" t="s">
        <v>130</v>
      </c>
    </row>
    <row r="22" spans="1:9" ht="18.95" customHeight="1">
      <c r="A22">
        <v>21</v>
      </c>
      <c r="B22" s="13">
        <v>46190</v>
      </c>
      <c r="C22" t="s">
        <v>70</v>
      </c>
      <c r="D22" t="s">
        <v>71</v>
      </c>
      <c r="E22" s="14">
        <v>73</v>
      </c>
      <c r="F22" s="14">
        <v>34</v>
      </c>
      <c r="G22" s="14">
        <v>1510</v>
      </c>
      <c r="H22" s="14">
        <v>1730</v>
      </c>
      <c r="I22" s="20" t="s">
        <v>130</v>
      </c>
    </row>
    <row r="23" spans="1:9" ht="18.95" customHeight="1">
      <c r="A23">
        <v>22</v>
      </c>
      <c r="B23" s="13">
        <v>46190</v>
      </c>
      <c r="C23" t="s">
        <v>72</v>
      </c>
      <c r="D23" t="s">
        <v>73</v>
      </c>
      <c r="E23" s="14">
        <v>4</v>
      </c>
      <c r="F23" s="14">
        <v>11</v>
      </c>
      <c r="G23" s="14">
        <v>2024</v>
      </c>
      <c r="H23" s="14">
        <v>1912</v>
      </c>
      <c r="I23" s="20" t="s">
        <v>130</v>
      </c>
    </row>
    <row r="24" spans="1:9" ht="18.95" customHeight="1">
      <c r="A24">
        <v>23</v>
      </c>
      <c r="B24" s="13">
        <v>46190</v>
      </c>
      <c r="C24" t="s">
        <v>75</v>
      </c>
      <c r="D24" t="s">
        <v>76</v>
      </c>
      <c r="E24" s="14">
        <v>5</v>
      </c>
      <c r="F24" s="14">
        <v>46</v>
      </c>
      <c r="G24" s="14">
        <v>1989</v>
      </c>
      <c r="H24" s="14">
        <v>1652</v>
      </c>
      <c r="I24" s="20" t="s">
        <v>130</v>
      </c>
    </row>
    <row r="25" spans="1:9" ht="18.95" customHeight="1">
      <c r="A25">
        <v>24</v>
      </c>
      <c r="B25" s="13">
        <v>46190</v>
      </c>
      <c r="C25" t="s">
        <v>77</v>
      </c>
      <c r="D25" t="s">
        <v>78</v>
      </c>
      <c r="E25" s="14">
        <v>50</v>
      </c>
      <c r="F25" s="14">
        <v>13</v>
      </c>
      <c r="G25" s="14">
        <v>1714</v>
      </c>
      <c r="H25" s="14">
        <v>1982</v>
      </c>
      <c r="I25" s="20" t="s">
        <v>130</v>
      </c>
    </row>
    <row r="26" spans="1:9" ht="18.95" customHeight="1">
      <c r="A26">
        <v>25</v>
      </c>
      <c r="B26" s="13">
        <v>46191</v>
      </c>
      <c r="C26" t="s">
        <v>23</v>
      </c>
      <c r="D26" t="s">
        <v>21</v>
      </c>
      <c r="E26" s="14">
        <v>40</v>
      </c>
      <c r="F26" s="14">
        <v>60</v>
      </c>
      <c r="G26" s="14">
        <v>1712</v>
      </c>
      <c r="H26" s="14">
        <v>1511</v>
      </c>
      <c r="I26" s="20" t="s">
        <v>130</v>
      </c>
    </row>
    <row r="27" spans="1:9" ht="18.95" customHeight="1">
      <c r="A27">
        <v>26</v>
      </c>
      <c r="B27" s="13">
        <v>46191</v>
      </c>
      <c r="C27" t="s">
        <v>38</v>
      </c>
      <c r="D27" t="s">
        <v>26</v>
      </c>
      <c r="E27" s="14">
        <v>19</v>
      </c>
      <c r="F27" s="14">
        <v>64</v>
      </c>
      <c r="G27" s="14">
        <v>1865</v>
      </c>
      <c r="H27" s="14">
        <v>1616</v>
      </c>
      <c r="I27" s="20" t="s">
        <v>130</v>
      </c>
    </row>
    <row r="28" spans="1:9" ht="18.95" customHeight="1">
      <c r="A28">
        <v>27</v>
      </c>
      <c r="B28" s="13">
        <v>46191</v>
      </c>
      <c r="C28" t="s">
        <v>25</v>
      </c>
      <c r="D28" t="s">
        <v>37</v>
      </c>
      <c r="E28" s="14">
        <v>30</v>
      </c>
      <c r="F28" s="14">
        <v>56</v>
      </c>
      <c r="G28" s="14">
        <v>1767</v>
      </c>
      <c r="H28" s="14">
        <v>1447</v>
      </c>
      <c r="I28" s="20" t="s">
        <v>130</v>
      </c>
    </row>
    <row r="29" spans="1:9" ht="18.95" customHeight="1">
      <c r="A29">
        <v>28</v>
      </c>
      <c r="B29" s="13">
        <v>46191</v>
      </c>
      <c r="C29" t="s">
        <v>20</v>
      </c>
      <c r="D29" t="s">
        <v>22</v>
      </c>
      <c r="E29" s="14">
        <v>14</v>
      </c>
      <c r="F29" s="14">
        <v>25</v>
      </c>
      <c r="G29" s="14">
        <v>1881</v>
      </c>
      <c r="H29" s="14">
        <v>1786</v>
      </c>
      <c r="I29" s="20" t="s">
        <v>130</v>
      </c>
    </row>
    <row r="30" spans="1:9" ht="18.95" customHeight="1">
      <c r="A30">
        <v>29</v>
      </c>
      <c r="B30" s="13">
        <v>46192</v>
      </c>
      <c r="C30" t="s">
        <v>35</v>
      </c>
      <c r="D30" t="s">
        <v>31</v>
      </c>
      <c r="E30" s="14">
        <v>6</v>
      </c>
      <c r="F30" s="14">
        <v>83</v>
      </c>
      <c r="G30" s="14">
        <v>1978</v>
      </c>
      <c r="H30" s="14">
        <v>1536</v>
      </c>
      <c r="I30" s="20" t="s">
        <v>130</v>
      </c>
    </row>
    <row r="31" spans="1:9" ht="18.95" customHeight="1">
      <c r="A31">
        <v>30</v>
      </c>
      <c r="B31" s="13">
        <v>46192</v>
      </c>
      <c r="C31" t="s">
        <v>32</v>
      </c>
      <c r="D31" t="s">
        <v>36</v>
      </c>
      <c r="E31" s="14">
        <v>42</v>
      </c>
      <c r="F31" s="14">
        <v>7</v>
      </c>
      <c r="G31" s="14">
        <v>1794</v>
      </c>
      <c r="H31" s="14">
        <v>1840</v>
      </c>
      <c r="I31" s="20" t="s">
        <v>130</v>
      </c>
    </row>
    <row r="32" spans="1:9" ht="18.95" customHeight="1">
      <c r="A32">
        <v>31</v>
      </c>
      <c r="B32" s="13">
        <v>46192</v>
      </c>
      <c r="C32" t="s">
        <v>34</v>
      </c>
      <c r="D32" t="s">
        <v>29</v>
      </c>
      <c r="E32" s="14">
        <v>22</v>
      </c>
      <c r="F32" s="14">
        <v>41</v>
      </c>
      <c r="G32" s="14">
        <v>1849</v>
      </c>
      <c r="H32" s="14">
        <v>1780</v>
      </c>
      <c r="I32" s="20" t="s">
        <v>130</v>
      </c>
    </row>
    <row r="33" spans="1:9" ht="18.95" customHeight="1">
      <c r="A33">
        <v>32</v>
      </c>
      <c r="B33" s="13">
        <v>46192</v>
      </c>
      <c r="C33" t="s">
        <v>28</v>
      </c>
      <c r="D33" t="s">
        <v>33</v>
      </c>
      <c r="E33" s="14">
        <v>17</v>
      </c>
      <c r="F33" s="14">
        <v>27</v>
      </c>
      <c r="G33" s="14">
        <v>1780</v>
      </c>
      <c r="H33" s="14">
        <v>1839</v>
      </c>
      <c r="I33" s="20" t="s">
        <v>130</v>
      </c>
    </row>
    <row r="34" spans="1:9" ht="18.95" customHeight="1">
      <c r="A34">
        <v>33</v>
      </c>
      <c r="B34" s="13">
        <v>46193</v>
      </c>
      <c r="C34" t="s">
        <v>42</v>
      </c>
      <c r="D34" t="s">
        <v>40</v>
      </c>
      <c r="E34" s="14">
        <v>10</v>
      </c>
      <c r="F34" s="14">
        <v>33</v>
      </c>
      <c r="G34" s="14">
        <v>1939</v>
      </c>
      <c r="H34" s="14">
        <v>1743</v>
      </c>
      <c r="I34" s="20" t="s">
        <v>130</v>
      </c>
    </row>
    <row r="35" spans="1:9" ht="18.95" customHeight="1">
      <c r="A35">
        <v>34</v>
      </c>
      <c r="B35" s="13">
        <v>46193</v>
      </c>
      <c r="C35" t="s">
        <v>41</v>
      </c>
      <c r="D35" t="s">
        <v>43</v>
      </c>
      <c r="E35" s="14">
        <v>23</v>
      </c>
      <c r="F35" s="14">
        <v>82</v>
      </c>
      <c r="G35" s="14">
        <v>1890</v>
      </c>
      <c r="H35" s="14">
        <v>1427</v>
      </c>
      <c r="I35" s="20" t="s">
        <v>130</v>
      </c>
    </row>
    <row r="36" spans="1:9" ht="18.95" customHeight="1">
      <c r="A36">
        <v>35</v>
      </c>
      <c r="B36" s="13">
        <v>46193</v>
      </c>
      <c r="C36" t="s">
        <v>45</v>
      </c>
      <c r="D36" t="s">
        <v>47</v>
      </c>
      <c r="E36" s="14">
        <v>8</v>
      </c>
      <c r="F36" s="14">
        <v>38</v>
      </c>
      <c r="G36" s="14">
        <v>1944</v>
      </c>
      <c r="H36" s="14">
        <v>1755</v>
      </c>
      <c r="I36" s="20" t="s">
        <v>130</v>
      </c>
    </row>
    <row r="37" spans="1:9" ht="18.95" customHeight="1">
      <c r="A37">
        <v>36</v>
      </c>
      <c r="B37" s="13">
        <v>46193</v>
      </c>
      <c r="C37" t="s">
        <v>48</v>
      </c>
      <c r="D37" t="s">
        <v>46</v>
      </c>
      <c r="E37" s="14">
        <v>45</v>
      </c>
      <c r="F37" s="14">
        <v>18</v>
      </c>
      <c r="G37" s="14">
        <v>1585</v>
      </c>
      <c r="H37" s="14">
        <v>1910</v>
      </c>
      <c r="I37" s="20" t="s">
        <v>130</v>
      </c>
    </row>
    <row r="38" spans="1:9" ht="18.95" customHeight="1">
      <c r="A38">
        <v>37</v>
      </c>
      <c r="B38" s="13">
        <v>46194</v>
      </c>
      <c r="C38" t="s">
        <v>51</v>
      </c>
      <c r="D38" t="s">
        <v>53</v>
      </c>
      <c r="E38" s="14">
        <v>16</v>
      </c>
      <c r="F38" s="14">
        <v>67</v>
      </c>
      <c r="G38" s="14">
        <v>1870</v>
      </c>
      <c r="H38" s="14">
        <v>1606</v>
      </c>
      <c r="I38" s="20" t="s">
        <v>130</v>
      </c>
    </row>
    <row r="39" spans="1:9" ht="18.95" customHeight="1">
      <c r="A39">
        <v>38</v>
      </c>
      <c r="B39" s="13">
        <v>46194</v>
      </c>
      <c r="C39" t="s">
        <v>52</v>
      </c>
      <c r="D39" t="s">
        <v>50</v>
      </c>
      <c r="E39" s="14">
        <v>2</v>
      </c>
      <c r="F39" s="14">
        <v>61</v>
      </c>
      <c r="G39" s="14">
        <v>2129</v>
      </c>
      <c r="H39" s="14">
        <v>1598</v>
      </c>
      <c r="I39" s="20" t="s">
        <v>130</v>
      </c>
    </row>
    <row r="40" spans="1:9" ht="18.95" customHeight="1">
      <c r="A40">
        <v>39</v>
      </c>
      <c r="B40" s="13">
        <v>46194</v>
      </c>
      <c r="C40" t="s">
        <v>57</v>
      </c>
      <c r="D40" t="s">
        <v>55</v>
      </c>
      <c r="E40" s="14">
        <v>9</v>
      </c>
      <c r="F40" s="14">
        <v>20</v>
      </c>
      <c r="G40" s="14">
        <v>1879</v>
      </c>
      <c r="H40" s="14">
        <v>1756</v>
      </c>
      <c r="I40" s="20" t="s">
        <v>130</v>
      </c>
    </row>
    <row r="41" spans="1:9" ht="18.95" customHeight="1">
      <c r="A41">
        <v>40</v>
      </c>
      <c r="B41" s="13">
        <v>46194</v>
      </c>
      <c r="C41" t="s">
        <v>56</v>
      </c>
      <c r="D41" t="s">
        <v>58</v>
      </c>
      <c r="E41" s="14">
        <v>85</v>
      </c>
      <c r="F41" s="14">
        <v>29</v>
      </c>
      <c r="G41" s="14">
        <v>1578</v>
      </c>
      <c r="H41" s="14">
        <v>1711</v>
      </c>
      <c r="I41" s="20" t="s">
        <v>130</v>
      </c>
    </row>
    <row r="42" spans="1:9" ht="18.95" customHeight="1">
      <c r="A42">
        <v>41</v>
      </c>
      <c r="B42" s="13">
        <v>46195</v>
      </c>
      <c r="C42" t="s">
        <v>63</v>
      </c>
      <c r="D42" t="s">
        <v>61</v>
      </c>
      <c r="E42" s="14">
        <v>31</v>
      </c>
      <c r="F42" s="14">
        <v>15</v>
      </c>
      <c r="G42" s="14">
        <v>1929</v>
      </c>
      <c r="H42" s="14">
        <v>1839</v>
      </c>
      <c r="I42" s="20" t="s">
        <v>130</v>
      </c>
    </row>
    <row r="43" spans="1:9" ht="18.95" customHeight="1">
      <c r="A43">
        <v>42</v>
      </c>
      <c r="B43" s="13">
        <v>46195</v>
      </c>
      <c r="C43" t="s">
        <v>60</v>
      </c>
      <c r="D43" t="s">
        <v>62</v>
      </c>
      <c r="E43" s="14">
        <v>3</v>
      </c>
      <c r="F43" s="14">
        <v>57</v>
      </c>
      <c r="G43" s="14">
        <v>2084</v>
      </c>
      <c r="H43" s="14">
        <v>1592</v>
      </c>
      <c r="I43" s="20" t="s">
        <v>130</v>
      </c>
    </row>
    <row r="44" spans="1:9" ht="18.95" customHeight="1">
      <c r="A44">
        <v>43</v>
      </c>
      <c r="B44" s="13">
        <v>46195</v>
      </c>
      <c r="C44" t="s">
        <v>65</v>
      </c>
      <c r="D44" t="s">
        <v>67</v>
      </c>
      <c r="E44" s="14">
        <v>1</v>
      </c>
      <c r="F44" s="14">
        <v>24</v>
      </c>
      <c r="G44" s="14">
        <v>2128</v>
      </c>
      <c r="H44" s="14">
        <v>1857</v>
      </c>
      <c r="I44" s="20" t="s">
        <v>130</v>
      </c>
    </row>
    <row r="45" spans="1:9" ht="18.95" customHeight="1">
      <c r="A45">
        <v>44</v>
      </c>
      <c r="B45" s="13">
        <v>46195</v>
      </c>
      <c r="C45" t="s">
        <v>68</v>
      </c>
      <c r="D45" t="s">
        <v>66</v>
      </c>
      <c r="E45" s="14">
        <v>63</v>
      </c>
      <c r="F45" s="14">
        <v>28</v>
      </c>
      <c r="G45" s="14">
        <v>1653</v>
      </c>
      <c r="H45" s="14">
        <v>1759</v>
      </c>
      <c r="I45" s="20" t="s">
        <v>130</v>
      </c>
    </row>
    <row r="46" spans="1:9" ht="18.95" customHeight="1">
      <c r="A46">
        <v>45</v>
      </c>
      <c r="B46" s="13">
        <v>46196</v>
      </c>
      <c r="C46" t="s">
        <v>72</v>
      </c>
      <c r="D46" t="s">
        <v>70</v>
      </c>
      <c r="E46" s="14">
        <v>4</v>
      </c>
      <c r="F46" s="14">
        <v>73</v>
      </c>
      <c r="G46" s="14">
        <v>2055</v>
      </c>
      <c r="H46" s="14">
        <v>1557</v>
      </c>
      <c r="I46" s="20" t="s">
        <v>130</v>
      </c>
    </row>
    <row r="47" spans="1:9" ht="18.95" customHeight="1">
      <c r="A47">
        <v>46</v>
      </c>
      <c r="B47" s="13">
        <v>46196</v>
      </c>
      <c r="C47" t="s">
        <v>71</v>
      </c>
      <c r="D47" t="s">
        <v>73</v>
      </c>
      <c r="E47" s="14">
        <v>34</v>
      </c>
      <c r="F47" s="14">
        <v>11</v>
      </c>
      <c r="G47" s="14">
        <v>1683</v>
      </c>
      <c r="H47" s="14">
        <v>1881</v>
      </c>
      <c r="I47" s="20" t="s">
        <v>130</v>
      </c>
    </row>
    <row r="48" spans="1:9" ht="18.95" customHeight="1">
      <c r="A48">
        <v>47</v>
      </c>
      <c r="B48" s="13">
        <v>46196</v>
      </c>
      <c r="C48" t="s">
        <v>75</v>
      </c>
      <c r="D48" t="s">
        <v>77</v>
      </c>
      <c r="E48" s="14">
        <v>5</v>
      </c>
      <c r="F48" s="14">
        <v>50</v>
      </c>
      <c r="G48" s="14">
        <v>1967</v>
      </c>
      <c r="H48" s="14">
        <v>1698</v>
      </c>
      <c r="I48" s="20" t="s">
        <v>130</v>
      </c>
    </row>
    <row r="49" spans="1:9" ht="18.95" customHeight="1">
      <c r="A49">
        <v>48</v>
      </c>
      <c r="B49" s="13">
        <v>46196</v>
      </c>
      <c r="C49" t="s">
        <v>78</v>
      </c>
      <c r="D49" t="s">
        <v>76</v>
      </c>
      <c r="E49" s="14">
        <v>13</v>
      </c>
      <c r="F49" s="14">
        <v>46</v>
      </c>
      <c r="G49" s="14">
        <v>1998</v>
      </c>
      <c r="H49" s="14">
        <v>1674</v>
      </c>
      <c r="I49" s="20" t="s">
        <v>130</v>
      </c>
    </row>
    <row r="50" spans="1:9" ht="18.95" customHeight="1">
      <c r="A50">
        <v>49</v>
      </c>
      <c r="B50" s="13">
        <v>46197</v>
      </c>
      <c r="C50" t="s">
        <v>32</v>
      </c>
      <c r="D50" t="s">
        <v>35</v>
      </c>
      <c r="E50" s="14">
        <v>42</v>
      </c>
      <c r="F50" s="14">
        <v>6</v>
      </c>
      <c r="G50" s="14">
        <v>1768</v>
      </c>
      <c r="H50" s="14">
        <v>1986</v>
      </c>
      <c r="I50" s="20" t="s">
        <v>130</v>
      </c>
    </row>
    <row r="51" spans="1:9" ht="18.95" customHeight="1">
      <c r="A51">
        <v>50</v>
      </c>
      <c r="B51" s="13">
        <v>46197</v>
      </c>
      <c r="C51" t="s">
        <v>36</v>
      </c>
      <c r="D51" t="s">
        <v>31</v>
      </c>
      <c r="E51" s="14">
        <v>7</v>
      </c>
      <c r="F51" s="14">
        <v>83</v>
      </c>
      <c r="G51" s="14">
        <v>1866</v>
      </c>
      <c r="H51" s="14">
        <v>1528</v>
      </c>
      <c r="I51" s="20" t="s">
        <v>130</v>
      </c>
    </row>
    <row r="52" spans="1:9" ht="18.95" customHeight="1">
      <c r="A52">
        <v>51</v>
      </c>
      <c r="B52" s="13">
        <v>46197</v>
      </c>
      <c r="C52" t="s">
        <v>38</v>
      </c>
      <c r="D52" t="s">
        <v>25</v>
      </c>
      <c r="E52" s="14">
        <v>19</v>
      </c>
      <c r="F52" s="14">
        <v>30</v>
      </c>
      <c r="G52" s="14">
        <v>1885</v>
      </c>
      <c r="H52" s="14">
        <v>1777</v>
      </c>
      <c r="I52" s="20" t="s">
        <v>130</v>
      </c>
    </row>
    <row r="53" spans="1:9" ht="18.95" customHeight="1">
      <c r="A53">
        <v>52</v>
      </c>
      <c r="B53" s="13">
        <v>46197</v>
      </c>
      <c r="C53" t="s">
        <v>26</v>
      </c>
      <c r="D53" t="s">
        <v>37</v>
      </c>
      <c r="E53" s="14">
        <v>64</v>
      </c>
      <c r="F53" s="14">
        <v>56</v>
      </c>
      <c r="G53" s="14">
        <v>1596</v>
      </c>
      <c r="H53" s="14">
        <v>1437</v>
      </c>
      <c r="I53" s="20" t="s">
        <v>130</v>
      </c>
    </row>
    <row r="54" spans="1:9" ht="18.95" customHeight="1">
      <c r="A54">
        <v>53</v>
      </c>
      <c r="B54" s="13">
        <v>46197</v>
      </c>
      <c r="C54" t="s">
        <v>23</v>
      </c>
      <c r="D54" t="s">
        <v>20</v>
      </c>
      <c r="E54" s="14">
        <v>40</v>
      </c>
      <c r="F54" s="14">
        <v>14</v>
      </c>
      <c r="G54" s="14">
        <v>1696</v>
      </c>
      <c r="H54" s="14">
        <v>1896</v>
      </c>
      <c r="I54" s="20" t="s">
        <v>130</v>
      </c>
    </row>
    <row r="55" spans="1:9" ht="18.95" customHeight="1">
      <c r="A55">
        <v>54</v>
      </c>
      <c r="B55" s="13">
        <v>46197</v>
      </c>
      <c r="C55" t="s">
        <v>21</v>
      </c>
      <c r="D55" t="s">
        <v>22</v>
      </c>
      <c r="E55" s="14">
        <v>60</v>
      </c>
      <c r="F55" s="14">
        <v>25</v>
      </c>
      <c r="G55" s="14">
        <v>1527</v>
      </c>
      <c r="H55" s="14">
        <v>1771</v>
      </c>
      <c r="I55" s="20" t="s">
        <v>130</v>
      </c>
    </row>
    <row r="56" spans="1:9" ht="18.95" customHeight="1">
      <c r="A56">
        <v>55</v>
      </c>
      <c r="B56" s="13">
        <v>46198</v>
      </c>
      <c r="C56" t="s">
        <v>43</v>
      </c>
      <c r="D56" t="s">
        <v>40</v>
      </c>
      <c r="E56" s="14">
        <v>82</v>
      </c>
      <c r="F56" s="14">
        <v>33</v>
      </c>
      <c r="G56" s="14">
        <v>1453</v>
      </c>
      <c r="H56" s="14">
        <v>1728</v>
      </c>
      <c r="I56" s="20" t="s">
        <v>130</v>
      </c>
    </row>
    <row r="57" spans="1:9" ht="18.95" customHeight="1">
      <c r="A57">
        <v>56</v>
      </c>
      <c r="B57" s="13">
        <v>46198</v>
      </c>
      <c r="C57" t="s">
        <v>41</v>
      </c>
      <c r="D57" t="s">
        <v>42</v>
      </c>
      <c r="E57" s="14">
        <v>23</v>
      </c>
      <c r="F57" s="14">
        <v>10</v>
      </c>
      <c r="G57" s="14">
        <v>1864</v>
      </c>
      <c r="H57" s="14">
        <v>1954</v>
      </c>
      <c r="I57" s="20" t="s">
        <v>130</v>
      </c>
    </row>
    <row r="58" spans="1:9" ht="18.95" customHeight="1">
      <c r="A58">
        <v>57</v>
      </c>
      <c r="B58" s="13">
        <v>46198</v>
      </c>
      <c r="C58" t="s">
        <v>46</v>
      </c>
      <c r="D58" t="s">
        <v>47</v>
      </c>
      <c r="E58" s="14">
        <v>18</v>
      </c>
      <c r="F58" s="14">
        <v>38</v>
      </c>
      <c r="G58" s="14">
        <v>1925</v>
      </c>
      <c r="H58" s="14">
        <v>1727</v>
      </c>
      <c r="I58" s="20" t="s">
        <v>130</v>
      </c>
    </row>
    <row r="59" spans="1:9" ht="18.95" customHeight="1">
      <c r="A59">
        <v>58</v>
      </c>
      <c r="B59" s="13">
        <v>46198</v>
      </c>
      <c r="C59" t="s">
        <v>48</v>
      </c>
      <c r="D59" t="s">
        <v>45</v>
      </c>
      <c r="E59" s="14">
        <v>45</v>
      </c>
      <c r="F59" s="14">
        <v>8</v>
      </c>
      <c r="G59" s="14">
        <v>1570</v>
      </c>
      <c r="H59" s="14">
        <v>1972</v>
      </c>
      <c r="I59" s="20" t="s">
        <v>130</v>
      </c>
    </row>
    <row r="60" spans="1:9" ht="18.95" customHeight="1">
      <c r="A60">
        <v>59</v>
      </c>
      <c r="B60" s="13">
        <v>46198</v>
      </c>
      <c r="C60" t="s">
        <v>34</v>
      </c>
      <c r="D60" t="s">
        <v>28</v>
      </c>
      <c r="E60" s="14">
        <v>22</v>
      </c>
      <c r="F60" s="14">
        <v>17</v>
      </c>
      <c r="G60" s="14">
        <v>1813</v>
      </c>
      <c r="H60" s="14">
        <v>1820</v>
      </c>
      <c r="I60" s="20" t="s">
        <v>130</v>
      </c>
    </row>
    <row r="61" spans="1:9" ht="18.95" customHeight="1">
      <c r="A61">
        <v>60</v>
      </c>
      <c r="B61" s="13">
        <v>46198</v>
      </c>
      <c r="C61" t="s">
        <v>29</v>
      </c>
      <c r="D61" t="s">
        <v>33</v>
      </c>
      <c r="E61" s="14">
        <v>41</v>
      </c>
      <c r="F61" s="14">
        <v>27</v>
      </c>
      <c r="G61" s="14">
        <v>1816</v>
      </c>
      <c r="H61" s="14">
        <v>1799</v>
      </c>
      <c r="I61" s="20" t="s">
        <v>130</v>
      </c>
    </row>
    <row r="62" spans="1:9" ht="18.95" customHeight="1">
      <c r="A62">
        <v>61</v>
      </c>
      <c r="B62" s="13">
        <v>46199</v>
      </c>
      <c r="C62" t="s">
        <v>63</v>
      </c>
      <c r="D62" t="s">
        <v>60</v>
      </c>
      <c r="E62" s="14">
        <v>31</v>
      </c>
      <c r="F62" s="14">
        <v>3</v>
      </c>
      <c r="G62" s="14">
        <v>1951</v>
      </c>
      <c r="H62" s="14">
        <v>2090</v>
      </c>
      <c r="I62" s="20" t="s">
        <v>130</v>
      </c>
    </row>
    <row r="63" spans="1:9" ht="18.95" customHeight="1">
      <c r="A63">
        <v>62</v>
      </c>
      <c r="B63" s="13">
        <v>46199</v>
      </c>
      <c r="C63" t="s">
        <v>61</v>
      </c>
      <c r="D63" t="s">
        <v>62</v>
      </c>
      <c r="E63" s="14">
        <v>15</v>
      </c>
      <c r="F63" s="14">
        <v>57</v>
      </c>
      <c r="G63" s="14">
        <v>1817</v>
      </c>
      <c r="H63" s="14">
        <v>1586</v>
      </c>
      <c r="I63" s="20" t="s">
        <v>130</v>
      </c>
    </row>
    <row r="64" spans="1:9" ht="18.95" customHeight="1">
      <c r="A64">
        <v>63</v>
      </c>
      <c r="B64" s="13">
        <v>46199</v>
      </c>
      <c r="C64" t="s">
        <v>58</v>
      </c>
      <c r="D64" t="s">
        <v>55</v>
      </c>
      <c r="E64" s="14">
        <v>29</v>
      </c>
      <c r="F64" s="14">
        <v>20</v>
      </c>
      <c r="G64" s="14">
        <v>1740</v>
      </c>
      <c r="H64" s="14">
        <v>1766</v>
      </c>
      <c r="I64" s="20" t="s">
        <v>130</v>
      </c>
    </row>
    <row r="65" spans="1:9" ht="18.95" customHeight="1">
      <c r="A65">
        <v>64</v>
      </c>
      <c r="B65" s="13">
        <v>46199</v>
      </c>
      <c r="C65" t="s">
        <v>56</v>
      </c>
      <c r="D65" t="s">
        <v>57</v>
      </c>
      <c r="E65" s="14">
        <v>85</v>
      </c>
      <c r="F65" s="14">
        <v>9</v>
      </c>
      <c r="G65" s="14">
        <v>1549</v>
      </c>
      <c r="H65" s="14">
        <v>1869</v>
      </c>
      <c r="I65" s="20" t="s">
        <v>130</v>
      </c>
    </row>
    <row r="66" spans="1:9" ht="18.95" customHeight="1">
      <c r="A66">
        <v>65</v>
      </c>
      <c r="B66" s="13">
        <v>46199</v>
      </c>
      <c r="C66" t="s">
        <v>53</v>
      </c>
      <c r="D66" t="s">
        <v>50</v>
      </c>
      <c r="E66" s="14">
        <v>67</v>
      </c>
      <c r="F66" s="14">
        <v>61</v>
      </c>
      <c r="G66" s="14">
        <v>1625</v>
      </c>
      <c r="H66" s="14">
        <v>1593</v>
      </c>
      <c r="I66" s="20" t="s">
        <v>130</v>
      </c>
    </row>
    <row r="67" spans="1:9" ht="18.95" customHeight="1">
      <c r="A67">
        <v>66</v>
      </c>
      <c r="B67" s="13">
        <v>46199</v>
      </c>
      <c r="C67" t="s">
        <v>51</v>
      </c>
      <c r="D67" t="s">
        <v>52</v>
      </c>
      <c r="E67" s="14">
        <v>16</v>
      </c>
      <c r="F67" s="14">
        <v>2</v>
      </c>
      <c r="G67" s="14">
        <v>1851</v>
      </c>
      <c r="H67" s="14">
        <v>2134</v>
      </c>
      <c r="I67" s="20" t="s">
        <v>130</v>
      </c>
    </row>
    <row r="68" spans="1:9" ht="18.95" customHeight="1">
      <c r="A68">
        <v>67</v>
      </c>
      <c r="B68" s="13">
        <v>46200</v>
      </c>
      <c r="C68" t="s">
        <v>71</v>
      </c>
      <c r="D68" t="s">
        <v>72</v>
      </c>
      <c r="E68" s="14">
        <v>34</v>
      </c>
      <c r="F68" s="14">
        <v>4</v>
      </c>
      <c r="G68" s="14">
        <v>1668</v>
      </c>
      <c r="H68" s="14">
        <v>2028</v>
      </c>
      <c r="I68" s="20" t="s">
        <v>130</v>
      </c>
    </row>
    <row r="69" spans="1:9" ht="18.95" customHeight="1">
      <c r="A69">
        <v>68</v>
      </c>
      <c r="B69" s="13">
        <v>46200</v>
      </c>
      <c r="C69" t="s">
        <v>73</v>
      </c>
      <c r="D69" t="s">
        <v>70</v>
      </c>
      <c r="E69" s="14">
        <v>11</v>
      </c>
      <c r="F69" s="14">
        <v>73</v>
      </c>
      <c r="G69" s="14">
        <v>1896</v>
      </c>
      <c r="H69" s="14">
        <v>1584</v>
      </c>
      <c r="I69" s="20" t="s">
        <v>130</v>
      </c>
    </row>
    <row r="70" spans="1:9" ht="18.95" customHeight="1">
      <c r="A70">
        <v>69</v>
      </c>
      <c r="B70" s="13">
        <v>46200</v>
      </c>
      <c r="C70" t="s">
        <v>66</v>
      </c>
      <c r="D70" t="s">
        <v>67</v>
      </c>
      <c r="E70" s="14">
        <v>28</v>
      </c>
      <c r="F70" s="14">
        <v>24</v>
      </c>
      <c r="G70" s="14">
        <v>1780</v>
      </c>
      <c r="H70" s="14">
        <v>1841</v>
      </c>
      <c r="I70" s="20" t="s">
        <v>130</v>
      </c>
    </row>
    <row r="71" spans="1:9" ht="18.95" customHeight="1">
      <c r="A71">
        <v>70</v>
      </c>
      <c r="B71" s="13">
        <v>46200</v>
      </c>
      <c r="C71" t="s">
        <v>68</v>
      </c>
      <c r="D71" t="s">
        <v>65</v>
      </c>
      <c r="E71" s="14">
        <v>63</v>
      </c>
      <c r="F71" s="14">
        <v>1</v>
      </c>
      <c r="G71" s="14">
        <v>1632</v>
      </c>
      <c r="H71" s="14">
        <v>2144</v>
      </c>
      <c r="I71" s="20" t="s">
        <v>130</v>
      </c>
    </row>
    <row r="72" spans="1:9" ht="18.95" customHeight="1">
      <c r="A72">
        <v>71</v>
      </c>
      <c r="B72" s="13">
        <v>46200</v>
      </c>
      <c r="C72" t="s">
        <v>78</v>
      </c>
      <c r="D72" t="s">
        <v>75</v>
      </c>
      <c r="E72" s="14">
        <v>13</v>
      </c>
      <c r="F72" s="14">
        <v>5</v>
      </c>
      <c r="G72" s="14">
        <v>2006</v>
      </c>
      <c r="H72" s="14">
        <v>1988</v>
      </c>
      <c r="I72" s="20" t="s">
        <v>130</v>
      </c>
    </row>
    <row r="73" spans="1:9" ht="18.95" customHeight="1">
      <c r="A73">
        <v>72</v>
      </c>
      <c r="B73" s="13">
        <v>46200</v>
      </c>
      <c r="C73" t="s">
        <v>76</v>
      </c>
      <c r="D73" t="s">
        <v>77</v>
      </c>
      <c r="E73" s="14">
        <v>46</v>
      </c>
      <c r="F73" s="14">
        <v>50</v>
      </c>
      <c r="G73" s="14">
        <v>1666</v>
      </c>
      <c r="H73" s="14">
        <v>1677</v>
      </c>
      <c r="I73" s="20" t="s">
        <v>130</v>
      </c>
    </row>
    <row r="74" spans="1:9" ht="18.95" customHeight="1">
      <c r="A74">
        <v>73</v>
      </c>
      <c r="B74" s="13">
        <v>46201</v>
      </c>
      <c r="C74" t="s">
        <v>21</v>
      </c>
      <c r="D74" t="s">
        <v>25</v>
      </c>
      <c r="E74" s="14">
        <v>60</v>
      </c>
      <c r="F74" s="14">
        <v>30</v>
      </c>
      <c r="G74" s="14">
        <v>1575</v>
      </c>
      <c r="H74" s="14">
        <v>1748</v>
      </c>
      <c r="I74" s="20" t="s">
        <v>130</v>
      </c>
    </row>
    <row r="75" spans="1:9" ht="18.95" customHeight="1">
      <c r="A75">
        <v>74</v>
      </c>
      <c r="B75" s="13">
        <v>46202</v>
      </c>
      <c r="C75" t="s">
        <v>42</v>
      </c>
      <c r="D75" t="s">
        <v>29</v>
      </c>
      <c r="E75" s="14">
        <v>10</v>
      </c>
      <c r="F75" s="14">
        <v>41</v>
      </c>
      <c r="G75" s="14">
        <v>1916</v>
      </c>
      <c r="H75" s="14">
        <v>1815</v>
      </c>
      <c r="I75" s="20" t="s">
        <v>130</v>
      </c>
    </row>
    <row r="76" spans="1:9" ht="18.95" customHeight="1">
      <c r="A76">
        <v>75</v>
      </c>
      <c r="B76" s="13">
        <v>46202</v>
      </c>
      <c r="C76" t="s">
        <v>45</v>
      </c>
      <c r="D76" t="s">
        <v>36</v>
      </c>
      <c r="E76" s="14">
        <v>8</v>
      </c>
      <c r="F76" s="14">
        <v>7</v>
      </c>
      <c r="G76" s="14">
        <v>1980</v>
      </c>
      <c r="H76" s="14">
        <v>1877</v>
      </c>
      <c r="I76" s="20" t="s">
        <v>130</v>
      </c>
    </row>
    <row r="77" spans="1:9" ht="18.95" customHeight="1">
      <c r="A77">
        <v>76</v>
      </c>
      <c r="B77" s="13">
        <v>46202</v>
      </c>
      <c r="C77" t="s">
        <v>35</v>
      </c>
      <c r="D77" t="s">
        <v>46</v>
      </c>
      <c r="E77" s="14">
        <v>6</v>
      </c>
      <c r="F77" s="14">
        <v>18</v>
      </c>
      <c r="G77" s="14">
        <v>2009</v>
      </c>
      <c r="H77" s="14">
        <v>1910</v>
      </c>
      <c r="I77" s="20" t="s">
        <v>130</v>
      </c>
    </row>
    <row r="78" spans="1:9" ht="18.95" customHeight="1">
      <c r="A78">
        <v>77</v>
      </c>
      <c r="B78" s="13">
        <v>46203</v>
      </c>
      <c r="C78" t="s">
        <v>60</v>
      </c>
      <c r="D78" t="s">
        <v>47</v>
      </c>
      <c r="E78" s="14">
        <v>3</v>
      </c>
      <c r="F78" s="14">
        <v>38</v>
      </c>
      <c r="G78" s="14">
        <v>2123</v>
      </c>
      <c r="H78" s="14">
        <v>1742</v>
      </c>
      <c r="I78" s="20" t="s">
        <v>130</v>
      </c>
    </row>
    <row r="79" spans="1:9" ht="18.95" customHeight="1">
      <c r="A79">
        <v>78</v>
      </c>
      <c r="B79" s="13">
        <v>46203</v>
      </c>
      <c r="C79" t="s">
        <v>40</v>
      </c>
      <c r="D79" t="s">
        <v>63</v>
      </c>
      <c r="E79" s="14">
        <v>33</v>
      </c>
      <c r="F79" s="14">
        <v>31</v>
      </c>
      <c r="G79" s="14">
        <v>1743</v>
      </c>
      <c r="H79" s="14">
        <v>1918</v>
      </c>
      <c r="I79" s="20" t="s">
        <v>130</v>
      </c>
    </row>
    <row r="80" spans="1:9" ht="18.95" customHeight="1">
      <c r="A80">
        <v>79</v>
      </c>
      <c r="B80" s="13">
        <v>46203</v>
      </c>
      <c r="C80" t="s">
        <v>20</v>
      </c>
      <c r="D80" t="s">
        <v>41</v>
      </c>
      <c r="E80" s="14">
        <v>14</v>
      </c>
      <c r="F80" s="14">
        <v>23</v>
      </c>
      <c r="G80" s="14">
        <v>1912</v>
      </c>
      <c r="H80" s="14">
        <v>1902</v>
      </c>
      <c r="I80" s="20" t="s">
        <v>130</v>
      </c>
    </row>
    <row r="81" spans="1:9" ht="18.95" customHeight="1">
      <c r="A81">
        <v>80</v>
      </c>
      <c r="B81" s="13">
        <v>46204</v>
      </c>
      <c r="C81" t="s">
        <v>72</v>
      </c>
      <c r="D81" t="s">
        <v>76</v>
      </c>
      <c r="E81" s="14">
        <v>4</v>
      </c>
      <c r="F81" s="14">
        <v>46</v>
      </c>
      <c r="G81" s="14">
        <v>2038</v>
      </c>
      <c r="H81" s="14">
        <v>1712</v>
      </c>
      <c r="I81" s="20" t="s">
        <v>130</v>
      </c>
    </row>
    <row r="82" spans="1:9" ht="18.95" customHeight="1">
      <c r="A82">
        <v>81</v>
      </c>
      <c r="B82" s="13">
        <v>46204</v>
      </c>
      <c r="C82" t="s">
        <v>28</v>
      </c>
      <c r="D82" t="s">
        <v>26</v>
      </c>
      <c r="E82" s="14">
        <v>17</v>
      </c>
      <c r="F82" s="14">
        <v>64</v>
      </c>
      <c r="G82" s="14">
        <v>1781</v>
      </c>
      <c r="H82" s="14">
        <v>1622</v>
      </c>
      <c r="I82" s="20" t="s">
        <v>130</v>
      </c>
    </row>
    <row r="83" spans="1:9" ht="18.95" customHeight="1">
      <c r="A83">
        <v>82</v>
      </c>
      <c r="B83" s="13">
        <v>46204</v>
      </c>
      <c r="C83" t="s">
        <v>57</v>
      </c>
      <c r="D83" t="s">
        <v>61</v>
      </c>
      <c r="E83" s="14">
        <v>9</v>
      </c>
      <c r="F83" s="14">
        <v>15</v>
      </c>
      <c r="G83" s="14">
        <v>1884</v>
      </c>
      <c r="H83" s="14">
        <v>1842</v>
      </c>
      <c r="I83" s="20" t="s">
        <v>130</v>
      </c>
    </row>
    <row r="84" spans="1:9" ht="18.95" customHeight="1">
      <c r="A84">
        <v>83</v>
      </c>
      <c r="B84" s="13">
        <v>46205</v>
      </c>
      <c r="C84" t="s">
        <v>75</v>
      </c>
      <c r="D84" t="s">
        <v>73</v>
      </c>
      <c r="E84" s="14">
        <v>5</v>
      </c>
      <c r="F84" s="14">
        <v>11</v>
      </c>
      <c r="G84" s="14">
        <v>1990</v>
      </c>
      <c r="H84" s="14">
        <v>1905</v>
      </c>
      <c r="I84" s="20" t="s">
        <v>130</v>
      </c>
    </row>
    <row r="85" spans="1:9" ht="18.95" customHeight="1">
      <c r="A85">
        <v>84</v>
      </c>
      <c r="B85" s="13">
        <v>46205</v>
      </c>
      <c r="C85" t="s">
        <v>52</v>
      </c>
      <c r="D85" t="s">
        <v>67</v>
      </c>
      <c r="E85" s="14">
        <v>2</v>
      </c>
      <c r="F85" s="14">
        <v>24</v>
      </c>
      <c r="G85" s="14">
        <v>2144</v>
      </c>
      <c r="H85" s="14">
        <v>1836</v>
      </c>
      <c r="I85" s="20" t="s">
        <v>130</v>
      </c>
    </row>
    <row r="86" spans="1:9" ht="18.95" customHeight="1">
      <c r="A86">
        <v>85</v>
      </c>
      <c r="B86" s="13">
        <v>46205</v>
      </c>
      <c r="C86" t="s">
        <v>38</v>
      </c>
      <c r="D86" t="s">
        <v>66</v>
      </c>
      <c r="E86" s="14">
        <v>19</v>
      </c>
      <c r="F86" s="14">
        <v>28</v>
      </c>
      <c r="G86" s="14">
        <v>1914</v>
      </c>
      <c r="H86" s="14">
        <v>1785</v>
      </c>
      <c r="I86" s="20" t="s">
        <v>130</v>
      </c>
    </row>
    <row r="87" spans="1:9" ht="18.95" customHeight="1">
      <c r="A87">
        <v>86</v>
      </c>
      <c r="B87" s="13">
        <v>46206</v>
      </c>
      <c r="C87" t="s">
        <v>65</v>
      </c>
      <c r="D87" t="s">
        <v>53</v>
      </c>
      <c r="E87" s="14">
        <v>1</v>
      </c>
      <c r="F87" s="14">
        <v>67</v>
      </c>
      <c r="G87" s="14">
        <v>2148</v>
      </c>
      <c r="H87" s="14">
        <v>1622</v>
      </c>
      <c r="I87" s="20" t="s">
        <v>130</v>
      </c>
    </row>
    <row r="88" spans="1:9" ht="18.95" customHeight="1">
      <c r="A88">
        <v>87</v>
      </c>
      <c r="B88" s="13">
        <v>46206</v>
      </c>
      <c r="C88" t="s">
        <v>78</v>
      </c>
      <c r="D88" t="s">
        <v>70</v>
      </c>
      <c r="E88" s="14">
        <v>13</v>
      </c>
      <c r="F88" s="14">
        <v>73</v>
      </c>
      <c r="G88" s="14">
        <v>2004</v>
      </c>
      <c r="H88" s="14">
        <v>1575</v>
      </c>
      <c r="I88" s="20" t="s">
        <v>130</v>
      </c>
    </row>
    <row r="89" spans="1:9" ht="18.95" customHeight="1">
      <c r="A89">
        <v>88</v>
      </c>
      <c r="B89" s="13">
        <v>46206</v>
      </c>
      <c r="C89" t="s">
        <v>33</v>
      </c>
      <c r="D89" t="s">
        <v>58</v>
      </c>
      <c r="E89" s="14">
        <v>27</v>
      </c>
      <c r="F89" s="14">
        <v>29</v>
      </c>
      <c r="G89" s="14">
        <v>1800</v>
      </c>
      <c r="H89" s="14">
        <v>1742</v>
      </c>
      <c r="I89" s="20" t="s">
        <v>130</v>
      </c>
    </row>
    <row r="90" spans="1:9" ht="18.95" customHeight="1">
      <c r="A90">
        <v>89</v>
      </c>
      <c r="B90" s="13">
        <v>46207</v>
      </c>
      <c r="C90" t="s">
        <v>29</v>
      </c>
      <c r="D90" t="s">
        <v>60</v>
      </c>
      <c r="E90" s="14">
        <v>41</v>
      </c>
      <c r="F90" s="14">
        <v>3</v>
      </c>
      <c r="G90" s="14">
        <v>1823</v>
      </c>
      <c r="H90" s="14">
        <v>2134</v>
      </c>
      <c r="I90" s="20" t="s">
        <v>130</v>
      </c>
    </row>
    <row r="91" spans="1:9" ht="18.95" customHeight="1">
      <c r="A91">
        <v>90</v>
      </c>
      <c r="B91" s="13">
        <v>46207</v>
      </c>
      <c r="C91" t="s">
        <v>25</v>
      </c>
      <c r="D91" t="s">
        <v>36</v>
      </c>
      <c r="E91" s="14">
        <v>30</v>
      </c>
      <c r="F91" s="14">
        <v>7</v>
      </c>
      <c r="G91" s="14">
        <v>1764</v>
      </c>
      <c r="H91" s="14">
        <v>1886</v>
      </c>
      <c r="I91" s="20" t="s">
        <v>130</v>
      </c>
    </row>
    <row r="92" spans="1:9" ht="18.95" customHeight="1">
      <c r="A92">
        <v>91</v>
      </c>
      <c r="B92" s="13">
        <v>46208</v>
      </c>
      <c r="C92" t="s">
        <v>35</v>
      </c>
      <c r="D92" t="s">
        <v>63</v>
      </c>
      <c r="E92" s="14">
        <v>6</v>
      </c>
      <c r="F92" s="14">
        <v>31</v>
      </c>
      <c r="G92" s="14">
        <v>2031</v>
      </c>
      <c r="H92" s="14">
        <v>1934</v>
      </c>
      <c r="I92" s="20" t="s">
        <v>130</v>
      </c>
    </row>
    <row r="93" spans="1:9" ht="18.95" customHeight="1">
      <c r="A93">
        <v>92</v>
      </c>
      <c r="B93" s="13">
        <v>46208</v>
      </c>
      <c r="C93" t="s">
        <v>20</v>
      </c>
      <c r="D93" t="s">
        <v>72</v>
      </c>
      <c r="E93" s="14">
        <v>14</v>
      </c>
      <c r="F93" s="14">
        <v>4</v>
      </c>
      <c r="G93" s="14">
        <v>1943</v>
      </c>
      <c r="H93" s="14">
        <v>2046</v>
      </c>
      <c r="I93" s="20" t="s">
        <v>130</v>
      </c>
    </row>
    <row r="94" spans="1:9" ht="18.95" customHeight="1">
      <c r="A94">
        <v>93</v>
      </c>
      <c r="B94" s="13">
        <v>46209</v>
      </c>
      <c r="C94" t="s">
        <v>75</v>
      </c>
      <c r="D94" t="s">
        <v>52</v>
      </c>
      <c r="E94" s="14">
        <v>5</v>
      </c>
      <c r="F94" s="14">
        <v>2</v>
      </c>
      <c r="G94" s="14">
        <v>2013</v>
      </c>
      <c r="H94" s="14">
        <v>2159</v>
      </c>
      <c r="I94" s="20" t="s">
        <v>130</v>
      </c>
    </row>
    <row r="95" spans="1:9" ht="18.95" customHeight="1">
      <c r="A95">
        <v>94</v>
      </c>
      <c r="B95" s="13">
        <v>46209</v>
      </c>
      <c r="C95" t="s">
        <v>28</v>
      </c>
      <c r="D95" t="s">
        <v>57</v>
      </c>
      <c r="E95" s="14">
        <v>17</v>
      </c>
      <c r="F95" s="14">
        <v>9</v>
      </c>
      <c r="G95" s="14">
        <v>1798</v>
      </c>
      <c r="H95" s="14">
        <v>1910</v>
      </c>
      <c r="I95" s="20" t="s">
        <v>130</v>
      </c>
    </row>
    <row r="96" spans="1:9" ht="18.95" customHeight="1">
      <c r="A96">
        <v>95</v>
      </c>
      <c r="B96" s="13">
        <v>46210</v>
      </c>
      <c r="C96" t="s">
        <v>65</v>
      </c>
      <c r="D96" t="s">
        <v>58</v>
      </c>
      <c r="E96" s="14">
        <v>1</v>
      </c>
      <c r="F96" s="14">
        <v>29</v>
      </c>
      <c r="G96" s="14">
        <v>2151</v>
      </c>
      <c r="H96" s="14">
        <v>1747</v>
      </c>
      <c r="I96" s="20" t="s">
        <v>130</v>
      </c>
    </row>
    <row r="97" spans="1:9" ht="18.95" customHeight="1">
      <c r="A97">
        <v>96</v>
      </c>
      <c r="B97" s="13">
        <v>46210</v>
      </c>
      <c r="C97" t="s">
        <v>38</v>
      </c>
      <c r="D97" t="s">
        <v>78</v>
      </c>
      <c r="E97" s="14">
        <v>19</v>
      </c>
      <c r="F97" s="14">
        <v>13</v>
      </c>
      <c r="G97" s="14">
        <v>1943</v>
      </c>
      <c r="H97" s="14">
        <v>2009</v>
      </c>
      <c r="I97" s="20" t="s">
        <v>130</v>
      </c>
    </row>
    <row r="98" spans="1:9" ht="18.95" customHeight="1">
      <c r="A98">
        <v>97</v>
      </c>
      <c r="B98" s="13">
        <v>46212</v>
      </c>
      <c r="C98" t="s">
        <v>60</v>
      </c>
      <c r="D98" t="s">
        <v>36</v>
      </c>
      <c r="E98" s="14">
        <v>3</v>
      </c>
      <c r="F98" s="14">
        <v>7</v>
      </c>
      <c r="G98" s="14">
        <v>2143</v>
      </c>
      <c r="H98" s="14">
        <v>1921</v>
      </c>
      <c r="I98" s="20" t="s">
        <v>130</v>
      </c>
    </row>
    <row r="99" spans="1:9" ht="18.95" customHeight="1">
      <c r="A99">
        <v>98</v>
      </c>
      <c r="B99" s="13">
        <v>46213</v>
      </c>
      <c r="C99" t="s">
        <v>52</v>
      </c>
      <c r="D99" t="s">
        <v>57</v>
      </c>
      <c r="E99" s="14">
        <v>2</v>
      </c>
      <c r="F99" s="14">
        <v>9</v>
      </c>
      <c r="G99" s="14">
        <v>2177</v>
      </c>
      <c r="H99" s="14">
        <v>1961</v>
      </c>
      <c r="I99" s="20" t="s">
        <v>130</v>
      </c>
    </row>
    <row r="100" spans="1:9" ht="18.95" customHeight="1">
      <c r="A100">
        <v>99</v>
      </c>
      <c r="B100" s="13">
        <v>46214</v>
      </c>
      <c r="C100" t="s">
        <v>63</v>
      </c>
      <c r="D100" t="s">
        <v>72</v>
      </c>
      <c r="E100" s="14">
        <v>31</v>
      </c>
      <c r="F100" s="14">
        <v>4</v>
      </c>
      <c r="G100" s="14">
        <v>1972</v>
      </c>
      <c r="H100" s="14">
        <v>2076</v>
      </c>
      <c r="I100" s="20" t="s">
        <v>130</v>
      </c>
    </row>
    <row r="101" spans="1:9" ht="18.95" customHeight="1">
      <c r="A101">
        <v>100</v>
      </c>
      <c r="B101" s="13">
        <v>46214</v>
      </c>
      <c r="C101" t="s">
        <v>65</v>
      </c>
      <c r="D101" t="s">
        <v>38</v>
      </c>
      <c r="E101" s="14">
        <v>1</v>
      </c>
      <c r="F101" s="14">
        <v>19</v>
      </c>
      <c r="G101" s="14">
        <v>2156</v>
      </c>
      <c r="H101" s="14">
        <v>1949</v>
      </c>
      <c r="I101" s="20" t="s">
        <v>130</v>
      </c>
    </row>
    <row r="102" spans="1:9" ht="18.95" customHeight="1">
      <c r="A102">
        <v>101</v>
      </c>
      <c r="B102" s="13">
        <v>46217</v>
      </c>
      <c r="C102" t="s">
        <v>60</v>
      </c>
      <c r="D102" t="s">
        <v>52</v>
      </c>
      <c r="E102" s="14">
        <v>3</v>
      </c>
      <c r="F102" s="14">
        <v>2</v>
      </c>
      <c r="G102" s="14">
        <v>2163</v>
      </c>
      <c r="H102" s="14">
        <v>2190</v>
      </c>
      <c r="I102" s="20" t="s">
        <v>130</v>
      </c>
    </row>
    <row r="103" spans="1:9" ht="18.95" customHeight="1">
      <c r="A103">
        <v>102</v>
      </c>
      <c r="B103" s="13">
        <v>46218</v>
      </c>
      <c r="C103" t="s">
        <v>72</v>
      </c>
      <c r="D103" t="s">
        <v>65</v>
      </c>
      <c r="E103" s="14">
        <v>4</v>
      </c>
      <c r="F103" s="14">
        <v>1</v>
      </c>
      <c r="G103" s="14">
        <v>2097</v>
      </c>
      <c r="H103" s="14">
        <v>2177</v>
      </c>
      <c r="I103" s="20" t="s">
        <v>130</v>
      </c>
    </row>
    <row r="104" spans="1:9" ht="18.95" customHeight="1">
      <c r="A104">
        <v>103</v>
      </c>
      <c r="B104" s="13">
        <v>46221</v>
      </c>
      <c r="C104" t="s">
        <v>60</v>
      </c>
      <c r="D104" t="s">
        <v>72</v>
      </c>
      <c r="E104" s="14">
        <v>3</v>
      </c>
      <c r="F104" s="14">
        <v>4</v>
      </c>
      <c r="G104" s="14">
        <v>2121</v>
      </c>
      <c r="H104" s="14">
        <v>2074</v>
      </c>
      <c r="I104" s="20" t="s">
        <v>130</v>
      </c>
    </row>
    <row r="105" spans="1:9" ht="18.95" customHeight="1">
      <c r="A105">
        <v>104</v>
      </c>
      <c r="B105" s="13">
        <v>46222</v>
      </c>
      <c r="C105" t="s">
        <v>52</v>
      </c>
      <c r="D105" t="s">
        <v>65</v>
      </c>
      <c r="E105" s="14">
        <v>2</v>
      </c>
      <c r="F105" s="14">
        <v>1</v>
      </c>
      <c r="G105" s="14">
        <v>2232</v>
      </c>
      <c r="H105" s="14">
        <v>2200</v>
      </c>
      <c r="I105" s="20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4" width="24" customWidth="1"/>
    <col min="5" max="14" width="19" customWidth="1"/>
  </cols>
  <sheetData>
    <row r="1" spans="1:14" ht="26.1" customHeight="1">
      <c r="A1" s="15" t="s">
        <v>0</v>
      </c>
      <c r="B1" s="15" t="s">
        <v>1</v>
      </c>
      <c r="C1" s="15" t="s">
        <v>4</v>
      </c>
      <c r="D1" s="15" t="s">
        <v>5</v>
      </c>
      <c r="E1" s="15" t="s">
        <v>149</v>
      </c>
      <c r="F1" s="15" t="s">
        <v>150</v>
      </c>
      <c r="G1" s="15" t="s">
        <v>151</v>
      </c>
      <c r="H1" s="15" t="s">
        <v>152</v>
      </c>
      <c r="I1" s="15" t="s">
        <v>153</v>
      </c>
      <c r="J1" s="15" t="s">
        <v>154</v>
      </c>
      <c r="K1" s="15" t="s">
        <v>155</v>
      </c>
      <c r="L1" s="15" t="s">
        <v>156</v>
      </c>
      <c r="M1" s="15" t="s">
        <v>8</v>
      </c>
      <c r="N1" s="15" t="s">
        <v>10</v>
      </c>
    </row>
    <row r="2" spans="1:14">
      <c r="A2">
        <v>1</v>
      </c>
      <c r="B2" s="13">
        <v>46184</v>
      </c>
      <c r="C2" t="s">
        <v>20</v>
      </c>
      <c r="D2" t="s">
        <v>21</v>
      </c>
      <c r="E2">
        <v>9</v>
      </c>
      <c r="F2">
        <v>1.8</v>
      </c>
      <c r="G2">
        <v>3</v>
      </c>
      <c r="H2">
        <v>0.6</v>
      </c>
      <c r="I2">
        <v>4</v>
      </c>
      <c r="J2">
        <v>0.8</v>
      </c>
      <c r="K2">
        <v>1</v>
      </c>
      <c r="L2">
        <v>0.2</v>
      </c>
      <c r="M2" s="16">
        <v>1</v>
      </c>
      <c r="N2" s="16">
        <v>0.4</v>
      </c>
    </row>
    <row r="3" spans="1:14">
      <c r="A3">
        <v>2</v>
      </c>
      <c r="B3" s="13">
        <v>46184</v>
      </c>
      <c r="C3" t="s">
        <v>22</v>
      </c>
      <c r="D3" t="s">
        <v>23</v>
      </c>
      <c r="E3">
        <v>7</v>
      </c>
      <c r="F3">
        <v>1.4</v>
      </c>
      <c r="G3">
        <v>3</v>
      </c>
      <c r="H3">
        <v>0.6</v>
      </c>
      <c r="I3">
        <v>17</v>
      </c>
      <c r="J3">
        <v>3.4</v>
      </c>
      <c r="K3">
        <v>3</v>
      </c>
      <c r="L3">
        <v>0.6</v>
      </c>
      <c r="M3" s="16">
        <v>-2</v>
      </c>
      <c r="N3" s="16">
        <v>0</v>
      </c>
    </row>
    <row r="4" spans="1:14">
      <c r="A4">
        <v>3</v>
      </c>
      <c r="B4" s="13">
        <v>46185</v>
      </c>
      <c r="C4" t="s">
        <v>25</v>
      </c>
      <c r="D4" t="s">
        <v>26</v>
      </c>
      <c r="E4">
        <v>7</v>
      </c>
      <c r="F4">
        <v>1.4</v>
      </c>
      <c r="G4">
        <v>2</v>
      </c>
      <c r="H4">
        <v>0.4</v>
      </c>
      <c r="I4">
        <v>4</v>
      </c>
      <c r="J4">
        <v>0.8</v>
      </c>
      <c r="K4">
        <v>0</v>
      </c>
      <c r="L4">
        <v>0</v>
      </c>
      <c r="M4" s="16">
        <v>0.6</v>
      </c>
      <c r="N4" s="16">
        <v>0.4</v>
      </c>
    </row>
    <row r="5" spans="1:14">
      <c r="A5">
        <v>4</v>
      </c>
      <c r="B5" s="13">
        <v>46185</v>
      </c>
      <c r="C5" t="s">
        <v>28</v>
      </c>
      <c r="D5" t="s">
        <v>29</v>
      </c>
      <c r="E5">
        <v>11</v>
      </c>
      <c r="F5">
        <v>2.2000000000000002</v>
      </c>
      <c r="G5">
        <v>2</v>
      </c>
      <c r="H5">
        <v>0.4</v>
      </c>
      <c r="I5">
        <v>9</v>
      </c>
      <c r="J5">
        <v>1.8</v>
      </c>
      <c r="K5">
        <v>3</v>
      </c>
      <c r="L5">
        <v>0.6</v>
      </c>
      <c r="M5" s="16">
        <v>0.4</v>
      </c>
      <c r="N5" s="16">
        <v>-0.2</v>
      </c>
    </row>
    <row r="6" spans="1:14">
      <c r="A6">
        <v>5</v>
      </c>
      <c r="B6" s="13">
        <v>46186</v>
      </c>
      <c r="C6" t="s">
        <v>31</v>
      </c>
      <c r="D6" t="s">
        <v>32</v>
      </c>
      <c r="E6">
        <v>8</v>
      </c>
      <c r="F6">
        <v>1.6</v>
      </c>
      <c r="G6">
        <v>2</v>
      </c>
      <c r="H6">
        <v>0.4</v>
      </c>
      <c r="I6">
        <v>12</v>
      </c>
      <c r="J6">
        <v>2.4</v>
      </c>
      <c r="K6">
        <v>3</v>
      </c>
      <c r="L6">
        <v>0.6</v>
      </c>
      <c r="M6" s="16">
        <v>-0.8</v>
      </c>
      <c r="N6" s="16">
        <v>-0.2</v>
      </c>
    </row>
    <row r="7" spans="1:14">
      <c r="A7">
        <v>6</v>
      </c>
      <c r="B7" s="13">
        <v>46186</v>
      </c>
      <c r="C7" t="s">
        <v>33</v>
      </c>
      <c r="D7" t="s">
        <v>34</v>
      </c>
      <c r="E7">
        <v>7</v>
      </c>
      <c r="F7">
        <v>1.4</v>
      </c>
      <c r="G7">
        <v>2</v>
      </c>
      <c r="H7">
        <v>0.4</v>
      </c>
      <c r="I7">
        <v>10</v>
      </c>
      <c r="J7">
        <v>2</v>
      </c>
      <c r="K7">
        <v>4</v>
      </c>
      <c r="L7">
        <v>0.8</v>
      </c>
      <c r="M7" s="16">
        <v>-0.6</v>
      </c>
      <c r="N7" s="16">
        <v>-0.4</v>
      </c>
    </row>
    <row r="8" spans="1:14">
      <c r="A8">
        <v>7</v>
      </c>
      <c r="B8" s="13">
        <v>46186</v>
      </c>
      <c r="C8" t="s">
        <v>35</v>
      </c>
      <c r="D8" t="s">
        <v>36</v>
      </c>
      <c r="E8">
        <v>13</v>
      </c>
      <c r="F8">
        <v>2.6</v>
      </c>
      <c r="G8">
        <v>3</v>
      </c>
      <c r="H8">
        <v>0.6</v>
      </c>
      <c r="I8">
        <v>13</v>
      </c>
      <c r="J8">
        <v>2.6</v>
      </c>
      <c r="K8">
        <v>3</v>
      </c>
      <c r="L8">
        <v>0.6</v>
      </c>
      <c r="M8" s="16">
        <v>0</v>
      </c>
      <c r="N8" s="16">
        <v>0</v>
      </c>
    </row>
    <row r="9" spans="1:14">
      <c r="A9">
        <v>8</v>
      </c>
      <c r="B9" s="13">
        <v>46186</v>
      </c>
      <c r="C9" t="s">
        <v>37</v>
      </c>
      <c r="D9" t="s">
        <v>38</v>
      </c>
      <c r="E9">
        <v>1</v>
      </c>
      <c r="F9">
        <v>0.2</v>
      </c>
      <c r="G9">
        <v>0</v>
      </c>
      <c r="H9">
        <v>0</v>
      </c>
      <c r="I9">
        <v>9</v>
      </c>
      <c r="J9">
        <v>1.8</v>
      </c>
      <c r="K9">
        <v>1</v>
      </c>
      <c r="L9">
        <v>0.2</v>
      </c>
      <c r="M9" s="16">
        <v>-1.6</v>
      </c>
      <c r="N9" s="16">
        <v>-0.2</v>
      </c>
    </row>
    <row r="10" spans="1:14">
      <c r="A10">
        <v>9</v>
      </c>
      <c r="B10" s="13">
        <v>46187</v>
      </c>
      <c r="C10" t="s">
        <v>40</v>
      </c>
      <c r="D10" t="s">
        <v>41</v>
      </c>
      <c r="E10">
        <v>12</v>
      </c>
      <c r="F10">
        <v>2.4</v>
      </c>
      <c r="G10">
        <v>4</v>
      </c>
      <c r="H10">
        <v>0.8</v>
      </c>
      <c r="I10">
        <v>9</v>
      </c>
      <c r="J10">
        <v>1.8</v>
      </c>
      <c r="K10">
        <v>3</v>
      </c>
      <c r="L10">
        <v>0.6</v>
      </c>
      <c r="M10" s="16">
        <v>0.6</v>
      </c>
      <c r="N10" s="16">
        <v>0.2</v>
      </c>
    </row>
    <row r="11" spans="1:14">
      <c r="A11">
        <v>10</v>
      </c>
      <c r="B11" s="13">
        <v>46187</v>
      </c>
      <c r="C11" t="s">
        <v>42</v>
      </c>
      <c r="D11" t="s">
        <v>43</v>
      </c>
      <c r="E11">
        <v>18</v>
      </c>
      <c r="F11">
        <v>3.6</v>
      </c>
      <c r="G11">
        <v>5</v>
      </c>
      <c r="H11">
        <v>1</v>
      </c>
      <c r="I11">
        <v>6</v>
      </c>
      <c r="J11">
        <v>1.2</v>
      </c>
      <c r="K11">
        <v>1</v>
      </c>
      <c r="L11">
        <v>0.2</v>
      </c>
      <c r="M11" s="16">
        <v>2.4</v>
      </c>
      <c r="N11" s="16">
        <v>0.8</v>
      </c>
    </row>
    <row r="12" spans="1:14">
      <c r="A12">
        <v>11</v>
      </c>
      <c r="B12" s="13">
        <v>46187</v>
      </c>
      <c r="C12" t="s">
        <v>45</v>
      </c>
      <c r="D12" t="s">
        <v>46</v>
      </c>
      <c r="E12">
        <v>9</v>
      </c>
      <c r="F12">
        <v>1.8</v>
      </c>
      <c r="G12">
        <v>3</v>
      </c>
      <c r="H12">
        <v>0.6</v>
      </c>
      <c r="I12">
        <v>8</v>
      </c>
      <c r="J12">
        <v>1.6</v>
      </c>
      <c r="K12">
        <v>5</v>
      </c>
      <c r="L12">
        <v>1</v>
      </c>
      <c r="M12" s="16">
        <v>0.2</v>
      </c>
      <c r="N12" s="16">
        <v>-0.4</v>
      </c>
    </row>
    <row r="13" spans="1:14">
      <c r="A13">
        <v>12</v>
      </c>
      <c r="B13" s="13">
        <v>46187</v>
      </c>
      <c r="C13" t="s">
        <v>47</v>
      </c>
      <c r="D13" t="s">
        <v>48</v>
      </c>
      <c r="E13">
        <v>10</v>
      </c>
      <c r="F13">
        <v>2</v>
      </c>
      <c r="G13">
        <v>2</v>
      </c>
      <c r="H13">
        <v>0.4</v>
      </c>
      <c r="I13">
        <v>2</v>
      </c>
      <c r="J13">
        <v>0.4</v>
      </c>
      <c r="K13">
        <v>1</v>
      </c>
      <c r="L13">
        <v>0.2</v>
      </c>
      <c r="M13" s="16">
        <v>1.6</v>
      </c>
      <c r="N13" s="16">
        <v>0.2</v>
      </c>
    </row>
    <row r="14" spans="1:14">
      <c r="A14">
        <v>13</v>
      </c>
      <c r="B14" s="13">
        <v>46188</v>
      </c>
      <c r="C14" t="s">
        <v>50</v>
      </c>
      <c r="D14" t="s">
        <v>51</v>
      </c>
      <c r="E14">
        <v>5</v>
      </c>
      <c r="F14">
        <v>1</v>
      </c>
      <c r="G14">
        <v>1</v>
      </c>
      <c r="H14">
        <v>0.2</v>
      </c>
      <c r="I14">
        <v>4</v>
      </c>
      <c r="J14">
        <v>0.8</v>
      </c>
      <c r="K14">
        <v>1</v>
      </c>
      <c r="L14">
        <v>0.2</v>
      </c>
      <c r="M14" s="16">
        <v>0.2</v>
      </c>
      <c r="N14" s="16">
        <v>0</v>
      </c>
    </row>
    <row r="15" spans="1:14">
      <c r="A15">
        <v>14</v>
      </c>
      <c r="B15" s="13">
        <v>46188</v>
      </c>
      <c r="C15" t="s">
        <v>52</v>
      </c>
      <c r="D15" t="s">
        <v>53</v>
      </c>
      <c r="E15">
        <v>9</v>
      </c>
      <c r="F15">
        <v>1.8</v>
      </c>
      <c r="G15">
        <v>2</v>
      </c>
      <c r="H15">
        <v>0.4</v>
      </c>
      <c r="I15">
        <v>7</v>
      </c>
      <c r="J15">
        <v>1.4</v>
      </c>
      <c r="K15">
        <v>1</v>
      </c>
      <c r="L15">
        <v>0.2</v>
      </c>
      <c r="M15" s="16">
        <v>0.4</v>
      </c>
      <c r="N15" s="16">
        <v>0.2</v>
      </c>
    </row>
    <row r="16" spans="1:14">
      <c r="A16">
        <v>15</v>
      </c>
      <c r="B16" s="13">
        <v>46188</v>
      </c>
      <c r="C16" t="s">
        <v>55</v>
      </c>
      <c r="D16" t="s">
        <v>56</v>
      </c>
      <c r="E16">
        <v>11</v>
      </c>
      <c r="F16">
        <v>2.2000000000000002</v>
      </c>
      <c r="G16">
        <v>3</v>
      </c>
      <c r="H16">
        <v>0.6</v>
      </c>
      <c r="I16">
        <v>4</v>
      </c>
      <c r="J16">
        <v>0.8</v>
      </c>
      <c r="K16">
        <v>1</v>
      </c>
      <c r="L16">
        <v>0.2</v>
      </c>
      <c r="M16" s="16">
        <v>1.4</v>
      </c>
      <c r="N16" s="16">
        <v>0.4</v>
      </c>
    </row>
    <row r="17" spans="1:14">
      <c r="A17">
        <v>16</v>
      </c>
      <c r="B17" s="13">
        <v>46188</v>
      </c>
      <c r="C17" t="s">
        <v>57</v>
      </c>
      <c r="D17" t="s">
        <v>58</v>
      </c>
      <c r="E17">
        <v>20</v>
      </c>
      <c r="F17">
        <v>4</v>
      </c>
      <c r="G17">
        <v>4</v>
      </c>
      <c r="H17">
        <v>0.8</v>
      </c>
      <c r="I17">
        <v>6</v>
      </c>
      <c r="J17">
        <v>1.2</v>
      </c>
      <c r="K17">
        <v>2</v>
      </c>
      <c r="L17">
        <v>0.4</v>
      </c>
      <c r="M17" s="16">
        <v>2.8</v>
      </c>
      <c r="N17" s="16">
        <v>0.4</v>
      </c>
    </row>
    <row r="18" spans="1:14">
      <c r="A18">
        <v>17</v>
      </c>
      <c r="B18" s="13">
        <v>46189</v>
      </c>
      <c r="C18" t="s">
        <v>60</v>
      </c>
      <c r="D18" t="s">
        <v>61</v>
      </c>
      <c r="E18">
        <v>12</v>
      </c>
      <c r="F18">
        <v>2.4</v>
      </c>
      <c r="G18">
        <v>4</v>
      </c>
      <c r="H18">
        <v>0.8</v>
      </c>
      <c r="I18">
        <v>7</v>
      </c>
      <c r="J18">
        <v>1.4</v>
      </c>
      <c r="K18">
        <v>2</v>
      </c>
      <c r="L18">
        <v>0.4</v>
      </c>
      <c r="M18" s="16">
        <v>1</v>
      </c>
      <c r="N18" s="16">
        <v>0.4</v>
      </c>
    </row>
    <row r="19" spans="1:14">
      <c r="A19">
        <v>18</v>
      </c>
      <c r="B19" s="13">
        <v>46189</v>
      </c>
      <c r="C19" t="s">
        <v>62</v>
      </c>
      <c r="D19" t="s">
        <v>63</v>
      </c>
      <c r="E19">
        <v>4</v>
      </c>
      <c r="F19">
        <v>0.8</v>
      </c>
      <c r="G19">
        <v>2</v>
      </c>
      <c r="H19">
        <v>0.4</v>
      </c>
      <c r="I19">
        <v>9</v>
      </c>
      <c r="J19">
        <v>1.8</v>
      </c>
      <c r="K19">
        <v>2</v>
      </c>
      <c r="L19">
        <v>0.4</v>
      </c>
      <c r="M19" s="16">
        <v>-1</v>
      </c>
      <c r="N19" s="16">
        <v>0</v>
      </c>
    </row>
    <row r="20" spans="1:14">
      <c r="A20">
        <v>19</v>
      </c>
      <c r="B20" s="13">
        <v>46189</v>
      </c>
      <c r="C20" t="s">
        <v>65</v>
      </c>
      <c r="D20" t="s">
        <v>66</v>
      </c>
      <c r="E20">
        <v>14</v>
      </c>
      <c r="F20">
        <v>2.8</v>
      </c>
      <c r="G20">
        <v>5</v>
      </c>
      <c r="H20">
        <v>1</v>
      </c>
      <c r="I20">
        <v>12</v>
      </c>
      <c r="J20">
        <v>2.4</v>
      </c>
      <c r="K20">
        <v>3</v>
      </c>
      <c r="L20">
        <v>0.6</v>
      </c>
      <c r="M20" s="16">
        <v>0.4</v>
      </c>
      <c r="N20" s="16">
        <v>0.4</v>
      </c>
    </row>
    <row r="21" spans="1:14">
      <c r="A21">
        <v>20</v>
      </c>
      <c r="B21" s="13">
        <v>46189</v>
      </c>
      <c r="C21" t="s">
        <v>67</v>
      </c>
      <c r="D21" t="s">
        <v>68</v>
      </c>
      <c r="E21">
        <v>10</v>
      </c>
      <c r="F21">
        <v>2</v>
      </c>
      <c r="G21">
        <v>4</v>
      </c>
      <c r="H21">
        <v>0.8</v>
      </c>
      <c r="I21">
        <v>7</v>
      </c>
      <c r="J21">
        <v>1.4</v>
      </c>
      <c r="K21">
        <v>0</v>
      </c>
      <c r="L21">
        <v>0</v>
      </c>
      <c r="M21" s="16">
        <v>0.6</v>
      </c>
      <c r="N21" s="16">
        <v>0.8</v>
      </c>
    </row>
    <row r="22" spans="1:14">
      <c r="A22">
        <v>21</v>
      </c>
      <c r="B22" s="13">
        <v>46190</v>
      </c>
      <c r="C22" t="s">
        <v>70</v>
      </c>
      <c r="D22" t="s">
        <v>71</v>
      </c>
      <c r="E22">
        <v>3</v>
      </c>
      <c r="F22">
        <v>0.6</v>
      </c>
      <c r="G22">
        <v>0</v>
      </c>
      <c r="H22">
        <v>0</v>
      </c>
      <c r="I22">
        <v>10</v>
      </c>
      <c r="J22">
        <v>2</v>
      </c>
      <c r="K22">
        <v>2</v>
      </c>
      <c r="L22">
        <v>0.4</v>
      </c>
      <c r="M22" s="16">
        <v>-1.4</v>
      </c>
      <c r="N22" s="16">
        <v>-0.4</v>
      </c>
    </row>
    <row r="23" spans="1:14">
      <c r="A23">
        <v>22</v>
      </c>
      <c r="B23" s="13">
        <v>46190</v>
      </c>
      <c r="C23" t="s">
        <v>72</v>
      </c>
      <c r="D23" t="s">
        <v>73</v>
      </c>
      <c r="E23">
        <v>7</v>
      </c>
      <c r="F23">
        <v>1.4</v>
      </c>
      <c r="G23">
        <v>3</v>
      </c>
      <c r="H23">
        <v>0.6</v>
      </c>
      <c r="I23">
        <v>8</v>
      </c>
      <c r="J23">
        <v>1.6</v>
      </c>
      <c r="K23">
        <v>3</v>
      </c>
      <c r="L23">
        <v>0.6</v>
      </c>
      <c r="M23" s="16">
        <v>-0.2</v>
      </c>
      <c r="N23" s="16">
        <v>0</v>
      </c>
    </row>
    <row r="24" spans="1:14">
      <c r="A24">
        <v>23</v>
      </c>
      <c r="B24" s="13">
        <v>46190</v>
      </c>
      <c r="C24" t="s">
        <v>75</v>
      </c>
      <c r="D24" t="s">
        <v>76</v>
      </c>
      <c r="E24">
        <v>15</v>
      </c>
      <c r="F24">
        <v>3</v>
      </c>
      <c r="G24">
        <v>4</v>
      </c>
      <c r="H24">
        <v>0.8</v>
      </c>
      <c r="I24">
        <v>4</v>
      </c>
      <c r="J24">
        <v>0.8</v>
      </c>
      <c r="K24">
        <v>2</v>
      </c>
      <c r="L24">
        <v>0.4</v>
      </c>
      <c r="M24" s="16">
        <v>2.2000000000000002</v>
      </c>
      <c r="N24" s="16">
        <v>0.4</v>
      </c>
    </row>
    <row r="25" spans="1:14">
      <c r="A25">
        <v>24</v>
      </c>
      <c r="B25" s="13">
        <v>46190</v>
      </c>
      <c r="C25" t="s">
        <v>77</v>
      </c>
      <c r="D25" t="s">
        <v>78</v>
      </c>
      <c r="E25">
        <v>6</v>
      </c>
      <c r="F25">
        <v>1.2</v>
      </c>
      <c r="G25">
        <v>1</v>
      </c>
      <c r="H25">
        <v>0.2</v>
      </c>
      <c r="I25">
        <v>10</v>
      </c>
      <c r="J25">
        <v>2</v>
      </c>
      <c r="K25">
        <v>3</v>
      </c>
      <c r="L25">
        <v>0.6</v>
      </c>
      <c r="M25" s="16">
        <v>-0.8</v>
      </c>
      <c r="N25" s="16">
        <v>-0.4</v>
      </c>
    </row>
    <row r="26" spans="1:14">
      <c r="A26">
        <v>25</v>
      </c>
      <c r="B26" s="13">
        <v>46191</v>
      </c>
      <c r="C26" t="s">
        <v>23</v>
      </c>
      <c r="D26" t="s">
        <v>21</v>
      </c>
      <c r="E26">
        <v>12</v>
      </c>
      <c r="F26">
        <v>2.4</v>
      </c>
      <c r="G26">
        <v>2</v>
      </c>
      <c r="H26">
        <v>0.4</v>
      </c>
      <c r="I26">
        <v>3</v>
      </c>
      <c r="J26">
        <v>0.6</v>
      </c>
      <c r="K26">
        <v>1</v>
      </c>
      <c r="L26">
        <v>0.2</v>
      </c>
      <c r="M26" s="16">
        <v>1.8</v>
      </c>
      <c r="N26" s="16">
        <v>0.2</v>
      </c>
    </row>
    <row r="27" spans="1:14">
      <c r="A27">
        <v>26</v>
      </c>
      <c r="B27" s="13">
        <v>46191</v>
      </c>
      <c r="C27" t="s">
        <v>38</v>
      </c>
      <c r="D27" t="s">
        <v>26</v>
      </c>
      <c r="E27">
        <v>9</v>
      </c>
      <c r="F27">
        <v>1.8</v>
      </c>
      <c r="G27">
        <v>1</v>
      </c>
      <c r="H27">
        <v>0.2</v>
      </c>
      <c r="I27">
        <v>4</v>
      </c>
      <c r="J27">
        <v>0.8</v>
      </c>
      <c r="K27">
        <v>0</v>
      </c>
      <c r="L27">
        <v>0</v>
      </c>
      <c r="M27" s="16">
        <v>1</v>
      </c>
      <c r="N27" s="16">
        <v>0.2</v>
      </c>
    </row>
    <row r="28" spans="1:14">
      <c r="A28">
        <v>27</v>
      </c>
      <c r="B28" s="13">
        <v>46191</v>
      </c>
      <c r="C28" t="s">
        <v>25</v>
      </c>
      <c r="D28" t="s">
        <v>37</v>
      </c>
      <c r="E28">
        <v>6</v>
      </c>
      <c r="F28">
        <v>1.2</v>
      </c>
      <c r="G28">
        <v>1</v>
      </c>
      <c r="H28">
        <v>0.2</v>
      </c>
      <c r="I28">
        <v>2</v>
      </c>
      <c r="J28">
        <v>0.4</v>
      </c>
      <c r="K28">
        <v>0</v>
      </c>
      <c r="L28">
        <v>0</v>
      </c>
      <c r="M28" s="16">
        <v>0.8</v>
      </c>
      <c r="N28" s="16">
        <v>0.2</v>
      </c>
    </row>
    <row r="29" spans="1:14">
      <c r="A29">
        <v>28</v>
      </c>
      <c r="B29" s="13">
        <v>46191</v>
      </c>
      <c r="C29" t="s">
        <v>20</v>
      </c>
      <c r="D29" t="s">
        <v>22</v>
      </c>
      <c r="E29">
        <v>11</v>
      </c>
      <c r="F29">
        <v>2.2000000000000002</v>
      </c>
      <c r="G29">
        <v>4</v>
      </c>
      <c r="H29">
        <v>0.8</v>
      </c>
      <c r="I29">
        <v>8</v>
      </c>
      <c r="J29">
        <v>1.6</v>
      </c>
      <c r="K29">
        <v>3</v>
      </c>
      <c r="L29">
        <v>0.6</v>
      </c>
      <c r="M29" s="16">
        <v>0.6</v>
      </c>
      <c r="N29" s="16">
        <v>0.2</v>
      </c>
    </row>
    <row r="30" spans="1:14">
      <c r="A30">
        <v>29</v>
      </c>
      <c r="B30" s="13">
        <v>46192</v>
      </c>
      <c r="C30" t="s">
        <v>35</v>
      </c>
      <c r="D30" t="s">
        <v>31</v>
      </c>
      <c r="E30">
        <v>13</v>
      </c>
      <c r="F30">
        <v>2.6</v>
      </c>
      <c r="G30">
        <v>3</v>
      </c>
      <c r="H30">
        <v>0.6</v>
      </c>
      <c r="I30">
        <v>6</v>
      </c>
      <c r="J30">
        <v>1.2</v>
      </c>
      <c r="K30">
        <v>1</v>
      </c>
      <c r="L30">
        <v>0.2</v>
      </c>
      <c r="M30" s="16">
        <v>1.4</v>
      </c>
      <c r="N30" s="16">
        <v>0.4</v>
      </c>
    </row>
    <row r="31" spans="1:14">
      <c r="A31">
        <v>30</v>
      </c>
      <c r="B31" s="13">
        <v>46192</v>
      </c>
      <c r="C31" t="s">
        <v>32</v>
      </c>
      <c r="D31" t="s">
        <v>36</v>
      </c>
      <c r="E31">
        <v>9</v>
      </c>
      <c r="F31">
        <v>1.8</v>
      </c>
      <c r="G31">
        <v>3</v>
      </c>
      <c r="H31">
        <v>0.6</v>
      </c>
      <c r="I31">
        <v>13</v>
      </c>
      <c r="J31">
        <v>2.6</v>
      </c>
      <c r="K31">
        <v>3</v>
      </c>
      <c r="L31">
        <v>0.6</v>
      </c>
      <c r="M31" s="16">
        <v>-0.8</v>
      </c>
      <c r="N31" s="16">
        <v>0</v>
      </c>
    </row>
    <row r="32" spans="1:14">
      <c r="A32">
        <v>31</v>
      </c>
      <c r="B32" s="13">
        <v>46192</v>
      </c>
      <c r="C32" t="s">
        <v>34</v>
      </c>
      <c r="D32" t="s">
        <v>29</v>
      </c>
      <c r="E32">
        <v>8</v>
      </c>
      <c r="F32">
        <v>1.6</v>
      </c>
      <c r="G32">
        <v>4</v>
      </c>
      <c r="H32">
        <v>0.8</v>
      </c>
      <c r="I32">
        <v>9</v>
      </c>
      <c r="J32">
        <v>1.8</v>
      </c>
      <c r="K32">
        <v>3</v>
      </c>
      <c r="L32">
        <v>0.6</v>
      </c>
      <c r="M32" s="16">
        <v>-0.2</v>
      </c>
      <c r="N32" s="16">
        <v>0.2</v>
      </c>
    </row>
    <row r="33" spans="1:14">
      <c r="A33">
        <v>32</v>
      </c>
      <c r="B33" s="13">
        <v>46192</v>
      </c>
      <c r="C33" t="s">
        <v>28</v>
      </c>
      <c r="D33" t="s">
        <v>33</v>
      </c>
      <c r="E33">
        <v>10</v>
      </c>
      <c r="F33">
        <v>2</v>
      </c>
      <c r="G33">
        <v>2</v>
      </c>
      <c r="H33">
        <v>0.4</v>
      </c>
      <c r="I33">
        <v>9</v>
      </c>
      <c r="J33">
        <v>1.8</v>
      </c>
      <c r="K33">
        <v>3</v>
      </c>
      <c r="L33">
        <v>0.6</v>
      </c>
      <c r="M33" s="16">
        <v>0.2</v>
      </c>
      <c r="N33" s="16">
        <v>-0.2</v>
      </c>
    </row>
    <row r="34" spans="1:14">
      <c r="A34">
        <v>33</v>
      </c>
      <c r="B34" s="13">
        <v>46193</v>
      </c>
      <c r="C34" t="s">
        <v>42</v>
      </c>
      <c r="D34" t="s">
        <v>40</v>
      </c>
      <c r="E34">
        <v>19</v>
      </c>
      <c r="F34">
        <v>3.8</v>
      </c>
      <c r="G34">
        <v>5</v>
      </c>
      <c r="H34">
        <v>1</v>
      </c>
      <c r="I34">
        <v>10</v>
      </c>
      <c r="J34">
        <v>2</v>
      </c>
      <c r="K34">
        <v>4</v>
      </c>
      <c r="L34">
        <v>0.8</v>
      </c>
      <c r="M34" s="16">
        <v>1.8</v>
      </c>
      <c r="N34" s="16">
        <v>0.2</v>
      </c>
    </row>
    <row r="35" spans="1:14">
      <c r="A35">
        <v>34</v>
      </c>
      <c r="B35" s="13">
        <v>46193</v>
      </c>
      <c r="C35" t="s">
        <v>41</v>
      </c>
      <c r="D35" t="s">
        <v>43</v>
      </c>
      <c r="E35">
        <v>7</v>
      </c>
      <c r="F35">
        <v>1.4</v>
      </c>
      <c r="G35">
        <v>2</v>
      </c>
      <c r="H35">
        <v>0.4</v>
      </c>
      <c r="I35">
        <v>7</v>
      </c>
      <c r="J35">
        <v>1.4</v>
      </c>
      <c r="K35">
        <v>1</v>
      </c>
      <c r="L35">
        <v>0.2</v>
      </c>
      <c r="M35" s="16">
        <v>0</v>
      </c>
      <c r="N35" s="16">
        <v>0.2</v>
      </c>
    </row>
    <row r="36" spans="1:14">
      <c r="A36">
        <v>35</v>
      </c>
      <c r="B36" s="13">
        <v>46193</v>
      </c>
      <c r="C36" t="s">
        <v>45</v>
      </c>
      <c r="D36" t="s">
        <v>47</v>
      </c>
      <c r="E36">
        <v>7</v>
      </c>
      <c r="F36">
        <v>1.4</v>
      </c>
      <c r="G36">
        <v>2</v>
      </c>
      <c r="H36">
        <v>0.4</v>
      </c>
      <c r="I36">
        <v>14</v>
      </c>
      <c r="J36">
        <v>2.8</v>
      </c>
      <c r="K36">
        <v>3</v>
      </c>
      <c r="L36">
        <v>0.6</v>
      </c>
      <c r="M36" s="16">
        <v>-1.4</v>
      </c>
      <c r="N36" s="16">
        <v>-0.2</v>
      </c>
    </row>
    <row r="37" spans="1:14">
      <c r="A37">
        <v>36</v>
      </c>
      <c r="B37" s="13">
        <v>46193</v>
      </c>
      <c r="C37" t="s">
        <v>48</v>
      </c>
      <c r="D37" t="s">
        <v>46</v>
      </c>
      <c r="E37">
        <v>2</v>
      </c>
      <c r="F37">
        <v>0.4</v>
      </c>
      <c r="G37">
        <v>1</v>
      </c>
      <c r="H37">
        <v>0.2</v>
      </c>
      <c r="I37">
        <v>8</v>
      </c>
      <c r="J37">
        <v>1.6</v>
      </c>
      <c r="K37">
        <v>4</v>
      </c>
      <c r="L37">
        <v>0.8</v>
      </c>
      <c r="M37" s="16">
        <v>-1.2</v>
      </c>
      <c r="N37" s="16">
        <v>-0.6</v>
      </c>
    </row>
    <row r="38" spans="1:14">
      <c r="A38">
        <v>37</v>
      </c>
      <c r="B38" s="13">
        <v>46194</v>
      </c>
      <c r="C38" t="s">
        <v>51</v>
      </c>
      <c r="D38" t="s">
        <v>53</v>
      </c>
      <c r="E38">
        <v>3</v>
      </c>
      <c r="F38">
        <v>0.6</v>
      </c>
      <c r="G38">
        <v>0</v>
      </c>
      <c r="H38">
        <v>0</v>
      </c>
      <c r="I38">
        <v>6</v>
      </c>
      <c r="J38">
        <v>1.2</v>
      </c>
      <c r="K38">
        <v>1</v>
      </c>
      <c r="L38">
        <v>0.2</v>
      </c>
      <c r="M38" s="16">
        <v>-0.6</v>
      </c>
      <c r="N38" s="16">
        <v>-0.2</v>
      </c>
    </row>
    <row r="39" spans="1:14">
      <c r="A39">
        <v>38</v>
      </c>
      <c r="B39" s="13">
        <v>46194</v>
      </c>
      <c r="C39" t="s">
        <v>52</v>
      </c>
      <c r="D39" t="s">
        <v>50</v>
      </c>
      <c r="E39">
        <v>7</v>
      </c>
      <c r="F39">
        <v>1.4</v>
      </c>
      <c r="G39">
        <v>2</v>
      </c>
      <c r="H39">
        <v>0.4</v>
      </c>
      <c r="I39">
        <v>6</v>
      </c>
      <c r="J39">
        <v>1.2</v>
      </c>
      <c r="K39">
        <v>1</v>
      </c>
      <c r="L39">
        <v>0.2</v>
      </c>
      <c r="M39" s="16">
        <v>0.2</v>
      </c>
      <c r="N39" s="16">
        <v>0.2</v>
      </c>
    </row>
    <row r="40" spans="1:14">
      <c r="A40">
        <v>39</v>
      </c>
      <c r="B40" s="13">
        <v>46194</v>
      </c>
      <c r="C40" t="s">
        <v>57</v>
      </c>
      <c r="D40" t="s">
        <v>55</v>
      </c>
      <c r="E40">
        <v>14</v>
      </c>
      <c r="F40">
        <v>2.8</v>
      </c>
      <c r="G40">
        <v>3</v>
      </c>
      <c r="H40">
        <v>0.6</v>
      </c>
      <c r="I40">
        <v>13</v>
      </c>
      <c r="J40">
        <v>2.6</v>
      </c>
      <c r="K40">
        <v>3</v>
      </c>
      <c r="L40">
        <v>0.6</v>
      </c>
      <c r="M40" s="16">
        <v>0.2</v>
      </c>
      <c r="N40" s="16">
        <v>0</v>
      </c>
    </row>
    <row r="41" spans="1:14">
      <c r="A41">
        <v>40</v>
      </c>
      <c r="B41" s="13">
        <v>46194</v>
      </c>
      <c r="C41" t="s">
        <v>56</v>
      </c>
      <c r="D41" t="s">
        <v>58</v>
      </c>
      <c r="E41">
        <v>6</v>
      </c>
      <c r="F41">
        <v>1.2</v>
      </c>
      <c r="G41">
        <v>1</v>
      </c>
      <c r="H41">
        <v>0.2</v>
      </c>
      <c r="I41">
        <v>7</v>
      </c>
      <c r="J41">
        <v>1.4</v>
      </c>
      <c r="K41">
        <v>2</v>
      </c>
      <c r="L41">
        <v>0.4</v>
      </c>
      <c r="M41" s="16">
        <v>-0.2</v>
      </c>
      <c r="N41" s="16">
        <v>-0.2</v>
      </c>
    </row>
    <row r="42" spans="1:14">
      <c r="A42">
        <v>41</v>
      </c>
      <c r="B42" s="13">
        <v>46195</v>
      </c>
      <c r="C42" t="s">
        <v>63</v>
      </c>
      <c r="D42" t="s">
        <v>61</v>
      </c>
      <c r="E42">
        <v>9</v>
      </c>
      <c r="F42">
        <v>1.8</v>
      </c>
      <c r="G42">
        <v>2</v>
      </c>
      <c r="H42">
        <v>0.4</v>
      </c>
      <c r="I42">
        <v>8</v>
      </c>
      <c r="J42">
        <v>1.6</v>
      </c>
      <c r="K42">
        <v>2</v>
      </c>
      <c r="L42">
        <v>0.4</v>
      </c>
      <c r="M42" s="16">
        <v>0.2</v>
      </c>
      <c r="N42" s="16">
        <v>0</v>
      </c>
    </row>
    <row r="43" spans="1:14">
      <c r="A43">
        <v>42</v>
      </c>
      <c r="B43" s="13">
        <v>46195</v>
      </c>
      <c r="C43" t="s">
        <v>60</v>
      </c>
      <c r="D43" t="s">
        <v>62</v>
      </c>
      <c r="E43">
        <v>12</v>
      </c>
      <c r="F43">
        <v>2.4</v>
      </c>
      <c r="G43">
        <v>4</v>
      </c>
      <c r="H43">
        <v>0.8</v>
      </c>
      <c r="I43">
        <v>5</v>
      </c>
      <c r="J43">
        <v>1</v>
      </c>
      <c r="K43">
        <v>2</v>
      </c>
      <c r="L43">
        <v>0.4</v>
      </c>
      <c r="M43" s="16">
        <v>1.4</v>
      </c>
      <c r="N43" s="16">
        <v>0.4</v>
      </c>
    </row>
    <row r="44" spans="1:14">
      <c r="A44">
        <v>43</v>
      </c>
      <c r="B44" s="13">
        <v>46195</v>
      </c>
      <c r="C44" t="s">
        <v>65</v>
      </c>
      <c r="D44" t="s">
        <v>67</v>
      </c>
      <c r="E44">
        <v>15</v>
      </c>
      <c r="F44">
        <v>3</v>
      </c>
      <c r="G44">
        <v>5</v>
      </c>
      <c r="H44">
        <v>1</v>
      </c>
      <c r="I44">
        <v>11</v>
      </c>
      <c r="J44">
        <v>2.2000000000000002</v>
      </c>
      <c r="K44">
        <v>4</v>
      </c>
      <c r="L44">
        <v>0.8</v>
      </c>
      <c r="M44" s="16">
        <v>0.8</v>
      </c>
      <c r="N44" s="16">
        <v>0.2</v>
      </c>
    </row>
    <row r="45" spans="1:14">
      <c r="A45">
        <v>44</v>
      </c>
      <c r="B45" s="13">
        <v>46195</v>
      </c>
      <c r="C45" t="s">
        <v>68</v>
      </c>
      <c r="D45" t="s">
        <v>66</v>
      </c>
      <c r="E45">
        <v>6</v>
      </c>
      <c r="F45">
        <v>1.2</v>
      </c>
      <c r="G45">
        <v>0</v>
      </c>
      <c r="H45">
        <v>0</v>
      </c>
      <c r="I45">
        <v>12</v>
      </c>
      <c r="J45">
        <v>2.4</v>
      </c>
      <c r="K45">
        <v>3</v>
      </c>
      <c r="L45">
        <v>0.6</v>
      </c>
      <c r="M45" s="16">
        <v>-1.2</v>
      </c>
      <c r="N45" s="16">
        <v>-0.6</v>
      </c>
    </row>
    <row r="46" spans="1:14">
      <c r="A46">
        <v>45</v>
      </c>
      <c r="B46" s="13">
        <v>46196</v>
      </c>
      <c r="C46" t="s">
        <v>72</v>
      </c>
      <c r="D46" t="s">
        <v>70</v>
      </c>
      <c r="E46">
        <v>9</v>
      </c>
      <c r="F46">
        <v>1.8</v>
      </c>
      <c r="G46">
        <v>3</v>
      </c>
      <c r="H46">
        <v>0.6</v>
      </c>
      <c r="I46">
        <v>4</v>
      </c>
      <c r="J46">
        <v>0.8</v>
      </c>
      <c r="K46">
        <v>1</v>
      </c>
      <c r="L46">
        <v>0.2</v>
      </c>
      <c r="M46" s="16">
        <v>1</v>
      </c>
      <c r="N46" s="16">
        <v>0.4</v>
      </c>
    </row>
    <row r="47" spans="1:14">
      <c r="A47">
        <v>46</v>
      </c>
      <c r="B47" s="13">
        <v>46196</v>
      </c>
      <c r="C47" t="s">
        <v>71</v>
      </c>
      <c r="D47" t="s">
        <v>73</v>
      </c>
      <c r="E47">
        <v>9</v>
      </c>
      <c r="F47">
        <v>1.8</v>
      </c>
      <c r="G47">
        <v>2</v>
      </c>
      <c r="H47">
        <v>0.4</v>
      </c>
      <c r="I47">
        <v>7</v>
      </c>
      <c r="J47">
        <v>1.4</v>
      </c>
      <c r="K47">
        <v>2</v>
      </c>
      <c r="L47">
        <v>0.4</v>
      </c>
      <c r="M47" s="16">
        <v>0.4</v>
      </c>
      <c r="N47" s="16">
        <v>0</v>
      </c>
    </row>
    <row r="48" spans="1:14">
      <c r="A48">
        <v>47</v>
      </c>
      <c r="B48" s="13">
        <v>46196</v>
      </c>
      <c r="C48" t="s">
        <v>75</v>
      </c>
      <c r="D48" t="s">
        <v>77</v>
      </c>
      <c r="E48">
        <v>7</v>
      </c>
      <c r="F48">
        <v>1.4</v>
      </c>
      <c r="G48">
        <v>3</v>
      </c>
      <c r="H48">
        <v>0.6</v>
      </c>
      <c r="I48">
        <v>5</v>
      </c>
      <c r="J48">
        <v>1</v>
      </c>
      <c r="K48">
        <v>1</v>
      </c>
      <c r="L48">
        <v>0.2</v>
      </c>
      <c r="M48" s="16">
        <v>0.4</v>
      </c>
      <c r="N48" s="16">
        <v>0.4</v>
      </c>
    </row>
    <row r="49" spans="1:14">
      <c r="A49">
        <v>48</v>
      </c>
      <c r="B49" s="13">
        <v>46196</v>
      </c>
      <c r="C49" t="s">
        <v>78</v>
      </c>
      <c r="D49" t="s">
        <v>76</v>
      </c>
      <c r="E49">
        <v>10</v>
      </c>
      <c r="F49">
        <v>2</v>
      </c>
      <c r="G49">
        <v>3</v>
      </c>
      <c r="H49">
        <v>0.6</v>
      </c>
      <c r="I49">
        <v>5</v>
      </c>
      <c r="J49">
        <v>1</v>
      </c>
      <c r="K49">
        <v>2</v>
      </c>
      <c r="L49">
        <v>0.4</v>
      </c>
      <c r="M49" s="16">
        <v>1</v>
      </c>
      <c r="N49" s="16">
        <v>0.2</v>
      </c>
    </row>
    <row r="50" spans="1:14">
      <c r="A50">
        <v>49</v>
      </c>
      <c r="B50" s="13">
        <v>46197</v>
      </c>
      <c r="C50" t="s">
        <v>32</v>
      </c>
      <c r="D50" t="s">
        <v>35</v>
      </c>
      <c r="E50">
        <v>9</v>
      </c>
      <c r="F50">
        <v>1.8</v>
      </c>
      <c r="G50">
        <v>3</v>
      </c>
      <c r="H50">
        <v>0.6</v>
      </c>
      <c r="I50">
        <v>15</v>
      </c>
      <c r="J50">
        <v>3</v>
      </c>
      <c r="K50">
        <v>4</v>
      </c>
      <c r="L50">
        <v>0.8</v>
      </c>
      <c r="M50" s="16">
        <v>-1.2</v>
      </c>
      <c r="N50" s="16">
        <v>-0.2</v>
      </c>
    </row>
    <row r="51" spans="1:14">
      <c r="A51">
        <v>50</v>
      </c>
      <c r="B51" s="13">
        <v>46197</v>
      </c>
      <c r="C51" t="s">
        <v>36</v>
      </c>
      <c r="D51" t="s">
        <v>31</v>
      </c>
      <c r="E51">
        <v>12</v>
      </c>
      <c r="F51">
        <v>2.4</v>
      </c>
      <c r="G51">
        <v>3</v>
      </c>
      <c r="H51">
        <v>0.6</v>
      </c>
      <c r="I51">
        <v>6</v>
      </c>
      <c r="J51">
        <v>1.2</v>
      </c>
      <c r="K51">
        <v>1</v>
      </c>
      <c r="L51">
        <v>0.2</v>
      </c>
      <c r="M51" s="16">
        <v>1.2</v>
      </c>
      <c r="N51" s="16">
        <v>0.4</v>
      </c>
    </row>
    <row r="52" spans="1:14">
      <c r="A52">
        <v>51</v>
      </c>
      <c r="B52" s="13">
        <v>46197</v>
      </c>
      <c r="C52" t="s">
        <v>38</v>
      </c>
      <c r="D52" t="s">
        <v>25</v>
      </c>
      <c r="E52">
        <v>10</v>
      </c>
      <c r="F52">
        <v>2</v>
      </c>
      <c r="G52">
        <v>2</v>
      </c>
      <c r="H52">
        <v>0.4</v>
      </c>
      <c r="I52">
        <v>10</v>
      </c>
      <c r="J52">
        <v>2</v>
      </c>
      <c r="K52">
        <v>2</v>
      </c>
      <c r="L52">
        <v>0.4</v>
      </c>
      <c r="M52" s="16">
        <v>0</v>
      </c>
      <c r="N52" s="16">
        <v>0</v>
      </c>
    </row>
    <row r="53" spans="1:14">
      <c r="A53">
        <v>52</v>
      </c>
      <c r="B53" s="13">
        <v>46197</v>
      </c>
      <c r="C53" t="s">
        <v>26</v>
      </c>
      <c r="D53" t="s">
        <v>37</v>
      </c>
      <c r="E53">
        <v>4</v>
      </c>
      <c r="F53">
        <v>0.8</v>
      </c>
      <c r="G53">
        <v>0</v>
      </c>
      <c r="H53">
        <v>0</v>
      </c>
      <c r="I53">
        <v>1</v>
      </c>
      <c r="J53">
        <v>0.2</v>
      </c>
      <c r="K53">
        <v>0</v>
      </c>
      <c r="L53">
        <v>0</v>
      </c>
      <c r="M53" s="16">
        <v>0.6</v>
      </c>
      <c r="N53" s="16">
        <v>0</v>
      </c>
    </row>
    <row r="54" spans="1:14">
      <c r="A54">
        <v>53</v>
      </c>
      <c r="B54" s="13">
        <v>46197</v>
      </c>
      <c r="C54" t="s">
        <v>23</v>
      </c>
      <c r="D54" t="s">
        <v>20</v>
      </c>
      <c r="E54">
        <v>11</v>
      </c>
      <c r="F54">
        <v>2.2000000000000002</v>
      </c>
      <c r="G54">
        <v>2</v>
      </c>
      <c r="H54">
        <v>0.4</v>
      </c>
      <c r="I54">
        <v>11</v>
      </c>
      <c r="J54">
        <v>2.2000000000000002</v>
      </c>
      <c r="K54">
        <v>5</v>
      </c>
      <c r="L54">
        <v>1</v>
      </c>
      <c r="M54" s="16">
        <v>0</v>
      </c>
      <c r="N54" s="16">
        <v>-0.6</v>
      </c>
    </row>
    <row r="55" spans="1:14">
      <c r="A55">
        <v>54</v>
      </c>
      <c r="B55" s="13">
        <v>46197</v>
      </c>
      <c r="C55" t="s">
        <v>21</v>
      </c>
      <c r="D55" t="s">
        <v>22</v>
      </c>
      <c r="E55">
        <v>3</v>
      </c>
      <c r="F55">
        <v>0.6</v>
      </c>
      <c r="G55">
        <v>1</v>
      </c>
      <c r="H55">
        <v>0.2</v>
      </c>
      <c r="I55">
        <v>8</v>
      </c>
      <c r="J55">
        <v>1.6</v>
      </c>
      <c r="K55">
        <v>3</v>
      </c>
      <c r="L55">
        <v>0.6</v>
      </c>
      <c r="M55" s="16">
        <v>-1</v>
      </c>
      <c r="N55" s="16">
        <v>-0.4</v>
      </c>
    </row>
    <row r="56" spans="1:14">
      <c r="A56">
        <v>55</v>
      </c>
      <c r="B56" s="13">
        <v>46198</v>
      </c>
      <c r="C56" t="s">
        <v>43</v>
      </c>
      <c r="D56" t="s">
        <v>40</v>
      </c>
      <c r="E56">
        <v>7</v>
      </c>
      <c r="F56">
        <v>1.4</v>
      </c>
      <c r="G56">
        <v>1</v>
      </c>
      <c r="H56">
        <v>0.2</v>
      </c>
      <c r="I56">
        <v>9</v>
      </c>
      <c r="J56">
        <v>1.8</v>
      </c>
      <c r="K56">
        <v>4</v>
      </c>
      <c r="L56">
        <v>0.8</v>
      </c>
      <c r="M56" s="16">
        <v>-0.4</v>
      </c>
      <c r="N56" s="16">
        <v>-0.6</v>
      </c>
    </row>
    <row r="57" spans="1:14">
      <c r="A57">
        <v>56</v>
      </c>
      <c r="B57" s="13">
        <v>46198</v>
      </c>
      <c r="C57" t="s">
        <v>41</v>
      </c>
      <c r="D57" t="s">
        <v>42</v>
      </c>
      <c r="E57">
        <v>6</v>
      </c>
      <c r="F57">
        <v>1.2</v>
      </c>
      <c r="G57">
        <v>2</v>
      </c>
      <c r="H57">
        <v>0.4</v>
      </c>
      <c r="I57">
        <v>17</v>
      </c>
      <c r="J57">
        <v>3.4</v>
      </c>
      <c r="K57">
        <v>5</v>
      </c>
      <c r="L57">
        <v>1</v>
      </c>
      <c r="M57" s="16">
        <v>-2.2000000000000002</v>
      </c>
      <c r="N57" s="16">
        <v>-0.6</v>
      </c>
    </row>
    <row r="58" spans="1:14">
      <c r="A58">
        <v>57</v>
      </c>
      <c r="B58" s="13">
        <v>46198</v>
      </c>
      <c r="C58" t="s">
        <v>46</v>
      </c>
      <c r="D58" t="s">
        <v>47</v>
      </c>
      <c r="E58">
        <v>9</v>
      </c>
      <c r="F58">
        <v>1.8</v>
      </c>
      <c r="G58">
        <v>4</v>
      </c>
      <c r="H58">
        <v>0.8</v>
      </c>
      <c r="I58">
        <v>12</v>
      </c>
      <c r="J58">
        <v>2.4</v>
      </c>
      <c r="K58">
        <v>2</v>
      </c>
      <c r="L58">
        <v>0.4</v>
      </c>
      <c r="M58" s="16">
        <v>-0.6</v>
      </c>
      <c r="N58" s="16">
        <v>0.4</v>
      </c>
    </row>
    <row r="59" spans="1:14">
      <c r="A59">
        <v>58</v>
      </c>
      <c r="B59" s="13">
        <v>46198</v>
      </c>
      <c r="C59" t="s">
        <v>48</v>
      </c>
      <c r="D59" t="s">
        <v>45</v>
      </c>
      <c r="E59">
        <v>1</v>
      </c>
      <c r="F59">
        <v>0.2</v>
      </c>
      <c r="G59">
        <v>0</v>
      </c>
      <c r="H59">
        <v>0</v>
      </c>
      <c r="I59">
        <v>10</v>
      </c>
      <c r="J59">
        <v>2</v>
      </c>
      <c r="K59">
        <v>2</v>
      </c>
      <c r="L59">
        <v>0.4</v>
      </c>
      <c r="M59" s="16">
        <v>-1.8</v>
      </c>
      <c r="N59" s="16">
        <v>-0.4</v>
      </c>
    </row>
    <row r="60" spans="1:14">
      <c r="A60">
        <v>59</v>
      </c>
      <c r="B60" s="13">
        <v>46198</v>
      </c>
      <c r="C60" t="s">
        <v>34</v>
      </c>
      <c r="D60" t="s">
        <v>28</v>
      </c>
      <c r="E60">
        <v>7</v>
      </c>
      <c r="F60">
        <v>1.4</v>
      </c>
      <c r="G60">
        <v>3</v>
      </c>
      <c r="H60">
        <v>0.6</v>
      </c>
      <c r="I60">
        <v>10</v>
      </c>
      <c r="J60">
        <v>2</v>
      </c>
      <c r="K60">
        <v>3</v>
      </c>
      <c r="L60">
        <v>0.6</v>
      </c>
      <c r="M60" s="16">
        <v>-0.6</v>
      </c>
      <c r="N60" s="16">
        <v>0</v>
      </c>
    </row>
    <row r="61" spans="1:14">
      <c r="A61">
        <v>60</v>
      </c>
      <c r="B61" s="13">
        <v>46198</v>
      </c>
      <c r="C61" t="s">
        <v>29</v>
      </c>
      <c r="D61" t="s">
        <v>33</v>
      </c>
      <c r="E61">
        <v>8</v>
      </c>
      <c r="F61">
        <v>1.6</v>
      </c>
      <c r="G61">
        <v>3</v>
      </c>
      <c r="H61">
        <v>0.6</v>
      </c>
      <c r="I61">
        <v>8</v>
      </c>
      <c r="J61">
        <v>1.6</v>
      </c>
      <c r="K61">
        <v>2</v>
      </c>
      <c r="L61">
        <v>0.4</v>
      </c>
      <c r="M61" s="16">
        <v>0</v>
      </c>
      <c r="N61" s="16">
        <v>0.2</v>
      </c>
    </row>
    <row r="62" spans="1:14">
      <c r="A62">
        <v>61</v>
      </c>
      <c r="B62" s="13">
        <v>46199</v>
      </c>
      <c r="C62" t="s">
        <v>63</v>
      </c>
      <c r="D62" t="s">
        <v>60</v>
      </c>
      <c r="E62">
        <v>11</v>
      </c>
      <c r="F62">
        <v>2.2000000000000002</v>
      </c>
      <c r="G62">
        <v>3</v>
      </c>
      <c r="H62">
        <v>0.6</v>
      </c>
      <c r="I62">
        <v>13</v>
      </c>
      <c r="J62">
        <v>2.6</v>
      </c>
      <c r="K62">
        <v>4</v>
      </c>
      <c r="L62">
        <v>0.8</v>
      </c>
      <c r="M62" s="16">
        <v>-0.4</v>
      </c>
      <c r="N62" s="16">
        <v>-0.2</v>
      </c>
    </row>
    <row r="63" spans="1:14">
      <c r="A63">
        <v>62</v>
      </c>
      <c r="B63" s="13">
        <v>46199</v>
      </c>
      <c r="C63" t="s">
        <v>61</v>
      </c>
      <c r="D63" t="s">
        <v>62</v>
      </c>
      <c r="E63">
        <v>8</v>
      </c>
      <c r="F63">
        <v>1.6</v>
      </c>
      <c r="G63">
        <v>1</v>
      </c>
      <c r="H63">
        <v>0.2</v>
      </c>
      <c r="I63">
        <v>3</v>
      </c>
      <c r="J63">
        <v>0.6</v>
      </c>
      <c r="K63">
        <v>1</v>
      </c>
      <c r="L63">
        <v>0.2</v>
      </c>
      <c r="M63" s="16">
        <v>1</v>
      </c>
      <c r="N63" s="16">
        <v>0</v>
      </c>
    </row>
    <row r="64" spans="1:14">
      <c r="A64">
        <v>63</v>
      </c>
      <c r="B64" s="13">
        <v>46199</v>
      </c>
      <c r="C64" t="s">
        <v>58</v>
      </c>
      <c r="D64" t="s">
        <v>55</v>
      </c>
      <c r="E64">
        <v>6</v>
      </c>
      <c r="F64">
        <v>1.2</v>
      </c>
      <c r="G64">
        <v>2</v>
      </c>
      <c r="H64">
        <v>0.4</v>
      </c>
      <c r="I64">
        <v>12</v>
      </c>
      <c r="J64">
        <v>2.4</v>
      </c>
      <c r="K64">
        <v>3</v>
      </c>
      <c r="L64">
        <v>0.6</v>
      </c>
      <c r="M64" s="16">
        <v>-1.2</v>
      </c>
      <c r="N64" s="16">
        <v>-0.2</v>
      </c>
    </row>
    <row r="65" spans="1:14">
      <c r="A65">
        <v>64</v>
      </c>
      <c r="B65" s="13">
        <v>46199</v>
      </c>
      <c r="C65" t="s">
        <v>56</v>
      </c>
      <c r="D65" t="s">
        <v>57</v>
      </c>
      <c r="E65">
        <v>7</v>
      </c>
      <c r="F65">
        <v>1.4</v>
      </c>
      <c r="G65">
        <v>1</v>
      </c>
      <c r="H65">
        <v>0.2</v>
      </c>
      <c r="I65">
        <v>9</v>
      </c>
      <c r="J65">
        <v>1.8</v>
      </c>
      <c r="K65">
        <v>2</v>
      </c>
      <c r="L65">
        <v>0.4</v>
      </c>
      <c r="M65" s="16">
        <v>-0.4</v>
      </c>
      <c r="N65" s="16">
        <v>-0.2</v>
      </c>
    </row>
    <row r="66" spans="1:14">
      <c r="A66">
        <v>65</v>
      </c>
      <c r="B66" s="13">
        <v>46199</v>
      </c>
      <c r="C66" t="s">
        <v>53</v>
      </c>
      <c r="D66" t="s">
        <v>50</v>
      </c>
      <c r="E66">
        <v>6</v>
      </c>
      <c r="F66">
        <v>1.2</v>
      </c>
      <c r="G66">
        <v>1</v>
      </c>
      <c r="H66">
        <v>0.2</v>
      </c>
      <c r="I66">
        <v>5</v>
      </c>
      <c r="J66">
        <v>1</v>
      </c>
      <c r="K66">
        <v>1</v>
      </c>
      <c r="L66">
        <v>0.2</v>
      </c>
      <c r="M66" s="16">
        <v>0.2</v>
      </c>
      <c r="N66" s="16">
        <v>0</v>
      </c>
    </row>
    <row r="67" spans="1:14">
      <c r="A67">
        <v>66</v>
      </c>
      <c r="B67" s="13">
        <v>46199</v>
      </c>
      <c r="C67" t="s">
        <v>51</v>
      </c>
      <c r="D67" t="s">
        <v>52</v>
      </c>
      <c r="E67">
        <v>5</v>
      </c>
      <c r="F67">
        <v>1</v>
      </c>
      <c r="G67">
        <v>0</v>
      </c>
      <c r="H67">
        <v>0</v>
      </c>
      <c r="I67">
        <v>8</v>
      </c>
      <c r="J67">
        <v>1.6</v>
      </c>
      <c r="K67">
        <v>2</v>
      </c>
      <c r="L67">
        <v>0.4</v>
      </c>
      <c r="M67" s="16">
        <v>-0.6</v>
      </c>
      <c r="N67" s="16">
        <v>-0.4</v>
      </c>
    </row>
    <row r="68" spans="1:14">
      <c r="A68">
        <v>67</v>
      </c>
      <c r="B68" s="13">
        <v>46200</v>
      </c>
      <c r="C68" t="s">
        <v>71</v>
      </c>
      <c r="D68" t="s">
        <v>72</v>
      </c>
      <c r="E68">
        <v>7</v>
      </c>
      <c r="F68">
        <v>1.4</v>
      </c>
      <c r="G68">
        <v>1</v>
      </c>
      <c r="H68">
        <v>0.2</v>
      </c>
      <c r="I68">
        <v>8</v>
      </c>
      <c r="J68">
        <v>1.6</v>
      </c>
      <c r="K68">
        <v>3</v>
      </c>
      <c r="L68">
        <v>0.6</v>
      </c>
      <c r="M68" s="16">
        <v>-0.2</v>
      </c>
      <c r="N68" s="16">
        <v>-0.4</v>
      </c>
    </row>
    <row r="69" spans="1:14">
      <c r="A69">
        <v>68</v>
      </c>
      <c r="B69" s="13">
        <v>46200</v>
      </c>
      <c r="C69" t="s">
        <v>73</v>
      </c>
      <c r="D69" t="s">
        <v>70</v>
      </c>
      <c r="E69">
        <v>6</v>
      </c>
      <c r="F69">
        <v>1.2</v>
      </c>
      <c r="G69">
        <v>2</v>
      </c>
      <c r="H69">
        <v>0.4</v>
      </c>
      <c r="I69">
        <v>3</v>
      </c>
      <c r="J69">
        <v>0.6</v>
      </c>
      <c r="K69">
        <v>1</v>
      </c>
      <c r="L69">
        <v>0.2</v>
      </c>
      <c r="M69" s="16">
        <v>0.6</v>
      </c>
      <c r="N69" s="16">
        <v>0.2</v>
      </c>
    </row>
    <row r="70" spans="1:14">
      <c r="A70">
        <v>69</v>
      </c>
      <c r="B70" s="13">
        <v>46200</v>
      </c>
      <c r="C70" t="s">
        <v>66</v>
      </c>
      <c r="D70" t="s">
        <v>67</v>
      </c>
      <c r="E70">
        <v>7</v>
      </c>
      <c r="F70">
        <v>1.4</v>
      </c>
      <c r="G70">
        <v>3</v>
      </c>
      <c r="H70">
        <v>0.6</v>
      </c>
      <c r="I70">
        <v>10</v>
      </c>
      <c r="J70">
        <v>2</v>
      </c>
      <c r="K70">
        <v>4</v>
      </c>
      <c r="L70">
        <v>0.8</v>
      </c>
      <c r="M70" s="16">
        <v>-0.6</v>
      </c>
      <c r="N70" s="16">
        <v>-0.2</v>
      </c>
    </row>
    <row r="71" spans="1:14">
      <c r="A71">
        <v>70</v>
      </c>
      <c r="B71" s="13">
        <v>46200</v>
      </c>
      <c r="C71" t="s">
        <v>68</v>
      </c>
      <c r="D71" t="s">
        <v>65</v>
      </c>
      <c r="E71">
        <v>5</v>
      </c>
      <c r="F71">
        <v>1</v>
      </c>
      <c r="G71">
        <v>0</v>
      </c>
      <c r="H71">
        <v>0</v>
      </c>
      <c r="I71">
        <v>15</v>
      </c>
      <c r="J71">
        <v>3</v>
      </c>
      <c r="K71">
        <v>5</v>
      </c>
      <c r="L71">
        <v>1</v>
      </c>
      <c r="M71" s="16">
        <v>-2</v>
      </c>
      <c r="N71" s="16">
        <v>-1</v>
      </c>
    </row>
    <row r="72" spans="1:14">
      <c r="A72">
        <v>71</v>
      </c>
      <c r="B72" s="13">
        <v>46200</v>
      </c>
      <c r="C72" t="s">
        <v>78</v>
      </c>
      <c r="D72" t="s">
        <v>75</v>
      </c>
      <c r="E72">
        <v>10</v>
      </c>
      <c r="F72">
        <v>2</v>
      </c>
      <c r="G72">
        <v>4</v>
      </c>
      <c r="H72">
        <v>0.8</v>
      </c>
      <c r="I72">
        <v>12</v>
      </c>
      <c r="J72">
        <v>2.4</v>
      </c>
      <c r="K72">
        <v>4</v>
      </c>
      <c r="L72">
        <v>0.8</v>
      </c>
      <c r="M72" s="16">
        <v>-0.4</v>
      </c>
      <c r="N72" s="16">
        <v>0</v>
      </c>
    </row>
    <row r="73" spans="1:14">
      <c r="A73">
        <v>72</v>
      </c>
      <c r="B73" s="13">
        <v>46200</v>
      </c>
      <c r="C73" t="s">
        <v>76</v>
      </c>
      <c r="D73" t="s">
        <v>77</v>
      </c>
      <c r="E73">
        <v>3</v>
      </c>
      <c r="F73">
        <v>0.6</v>
      </c>
      <c r="G73">
        <v>1</v>
      </c>
      <c r="H73">
        <v>0.2</v>
      </c>
      <c r="I73">
        <v>2</v>
      </c>
      <c r="J73">
        <v>0.4</v>
      </c>
      <c r="K73">
        <v>0</v>
      </c>
      <c r="L73">
        <v>0</v>
      </c>
      <c r="M73" s="16">
        <v>0.2</v>
      </c>
      <c r="N73" s="16">
        <v>0.2</v>
      </c>
    </row>
    <row r="74" spans="1:14">
      <c r="A74">
        <v>73</v>
      </c>
      <c r="B74" s="13">
        <v>46201</v>
      </c>
      <c r="C74" t="s">
        <v>21</v>
      </c>
      <c r="D74" t="s">
        <v>25</v>
      </c>
      <c r="E74">
        <v>3</v>
      </c>
      <c r="F74">
        <v>0.6</v>
      </c>
      <c r="G74">
        <v>2</v>
      </c>
      <c r="H74">
        <v>0.4</v>
      </c>
      <c r="I74">
        <v>11</v>
      </c>
      <c r="J74">
        <v>2.2000000000000002</v>
      </c>
      <c r="K74">
        <v>2</v>
      </c>
      <c r="L74">
        <v>0.4</v>
      </c>
      <c r="M74" s="16">
        <v>-1.6</v>
      </c>
      <c r="N74" s="16">
        <v>0</v>
      </c>
    </row>
    <row r="75" spans="1:14">
      <c r="A75">
        <v>74</v>
      </c>
      <c r="B75" s="13">
        <v>46202</v>
      </c>
      <c r="C75" t="s">
        <v>42</v>
      </c>
      <c r="D75" t="s">
        <v>29</v>
      </c>
      <c r="E75">
        <v>16</v>
      </c>
      <c r="F75">
        <v>3.2</v>
      </c>
      <c r="G75">
        <v>4</v>
      </c>
      <c r="H75">
        <v>0.8</v>
      </c>
      <c r="I75">
        <v>7</v>
      </c>
      <c r="J75">
        <v>1.4</v>
      </c>
      <c r="K75">
        <v>2</v>
      </c>
      <c r="L75">
        <v>0.4</v>
      </c>
      <c r="M75" s="16">
        <v>1.8</v>
      </c>
      <c r="N75" s="16">
        <v>0.4</v>
      </c>
    </row>
    <row r="76" spans="1:14">
      <c r="A76">
        <v>75</v>
      </c>
      <c r="B76" s="13">
        <v>46202</v>
      </c>
      <c r="C76" t="s">
        <v>45</v>
      </c>
      <c r="D76" t="s">
        <v>36</v>
      </c>
      <c r="E76">
        <v>12</v>
      </c>
      <c r="F76">
        <v>2.4</v>
      </c>
      <c r="G76">
        <v>3</v>
      </c>
      <c r="H76">
        <v>0.6</v>
      </c>
      <c r="I76">
        <v>11</v>
      </c>
      <c r="J76">
        <v>2.2000000000000002</v>
      </c>
      <c r="K76">
        <v>3</v>
      </c>
      <c r="L76">
        <v>0.6</v>
      </c>
      <c r="M76" s="16">
        <v>0.2</v>
      </c>
      <c r="N76" s="16">
        <v>0</v>
      </c>
    </row>
    <row r="77" spans="1:14">
      <c r="A77">
        <v>76</v>
      </c>
      <c r="B77" s="13">
        <v>46202</v>
      </c>
      <c r="C77" t="s">
        <v>35</v>
      </c>
      <c r="D77" t="s">
        <v>46</v>
      </c>
      <c r="E77">
        <v>15</v>
      </c>
      <c r="F77">
        <v>3</v>
      </c>
      <c r="G77">
        <v>4</v>
      </c>
      <c r="H77">
        <v>0.8</v>
      </c>
      <c r="I77">
        <v>9</v>
      </c>
      <c r="J77">
        <v>1.8</v>
      </c>
      <c r="K77">
        <v>3</v>
      </c>
      <c r="L77">
        <v>0.6</v>
      </c>
      <c r="M77" s="16">
        <v>1.2</v>
      </c>
      <c r="N77" s="16">
        <v>0.2</v>
      </c>
    </row>
    <row r="78" spans="1:14">
      <c r="A78">
        <v>77</v>
      </c>
      <c r="B78" s="13">
        <v>46203</v>
      </c>
      <c r="C78" t="s">
        <v>60</v>
      </c>
      <c r="D78" t="s">
        <v>47</v>
      </c>
      <c r="E78">
        <v>14</v>
      </c>
      <c r="F78">
        <v>2.8</v>
      </c>
      <c r="G78">
        <v>4</v>
      </c>
      <c r="H78">
        <v>0.8</v>
      </c>
      <c r="I78">
        <v>10</v>
      </c>
      <c r="J78">
        <v>2</v>
      </c>
      <c r="K78">
        <v>1</v>
      </c>
      <c r="L78">
        <v>0.2</v>
      </c>
      <c r="M78" s="16">
        <v>0.8</v>
      </c>
      <c r="N78" s="16">
        <v>0.6</v>
      </c>
    </row>
    <row r="79" spans="1:14">
      <c r="A79">
        <v>78</v>
      </c>
      <c r="B79" s="13">
        <v>46203</v>
      </c>
      <c r="C79" t="s">
        <v>40</v>
      </c>
      <c r="D79" t="s">
        <v>63</v>
      </c>
      <c r="E79">
        <v>7</v>
      </c>
      <c r="F79">
        <v>1.4</v>
      </c>
      <c r="G79">
        <v>4</v>
      </c>
      <c r="H79">
        <v>0.8</v>
      </c>
      <c r="I79">
        <v>12</v>
      </c>
      <c r="J79">
        <v>2.4</v>
      </c>
      <c r="K79">
        <v>3</v>
      </c>
      <c r="L79">
        <v>0.6</v>
      </c>
      <c r="M79" s="16">
        <v>-1</v>
      </c>
      <c r="N79" s="16">
        <v>0.2</v>
      </c>
    </row>
    <row r="80" spans="1:14">
      <c r="A80">
        <v>79</v>
      </c>
      <c r="B80" s="13">
        <v>46203</v>
      </c>
      <c r="C80" t="s">
        <v>20</v>
      </c>
      <c r="D80" t="s">
        <v>41</v>
      </c>
      <c r="E80">
        <v>12</v>
      </c>
      <c r="F80">
        <v>2.4</v>
      </c>
      <c r="G80">
        <v>5</v>
      </c>
      <c r="H80">
        <v>1</v>
      </c>
      <c r="I80">
        <v>7</v>
      </c>
      <c r="J80">
        <v>1.4</v>
      </c>
      <c r="K80">
        <v>3</v>
      </c>
      <c r="L80">
        <v>0.6</v>
      </c>
      <c r="M80" s="16">
        <v>1</v>
      </c>
      <c r="N80" s="16">
        <v>0.4</v>
      </c>
    </row>
    <row r="81" spans="1:14">
      <c r="A81">
        <v>80</v>
      </c>
      <c r="B81" s="13">
        <v>46204</v>
      </c>
      <c r="C81" t="s">
        <v>72</v>
      </c>
      <c r="D81" t="s">
        <v>76</v>
      </c>
      <c r="E81">
        <v>10</v>
      </c>
      <c r="F81">
        <v>2</v>
      </c>
      <c r="G81">
        <v>4</v>
      </c>
      <c r="H81">
        <v>0.8</v>
      </c>
      <c r="I81">
        <v>5</v>
      </c>
      <c r="J81">
        <v>1</v>
      </c>
      <c r="K81">
        <v>1</v>
      </c>
      <c r="L81">
        <v>0.2</v>
      </c>
      <c r="M81" s="16">
        <v>1</v>
      </c>
      <c r="N81" s="16">
        <v>0.6</v>
      </c>
    </row>
    <row r="82" spans="1:14">
      <c r="A82">
        <v>81</v>
      </c>
      <c r="B82" s="13">
        <v>46204</v>
      </c>
      <c r="C82" t="s">
        <v>28</v>
      </c>
      <c r="D82" t="s">
        <v>26</v>
      </c>
      <c r="E82">
        <v>12</v>
      </c>
      <c r="F82">
        <v>2.4</v>
      </c>
      <c r="G82">
        <v>3</v>
      </c>
      <c r="H82">
        <v>0.6</v>
      </c>
      <c r="I82">
        <v>6</v>
      </c>
      <c r="J82">
        <v>1.2</v>
      </c>
      <c r="K82">
        <v>1</v>
      </c>
      <c r="L82">
        <v>0.2</v>
      </c>
      <c r="M82" s="16">
        <v>1.2</v>
      </c>
      <c r="N82" s="16">
        <v>0.4</v>
      </c>
    </row>
    <row r="83" spans="1:14">
      <c r="A83">
        <v>82</v>
      </c>
      <c r="B83" s="13">
        <v>46204</v>
      </c>
      <c r="C83" t="s">
        <v>57</v>
      </c>
      <c r="D83" t="s">
        <v>61</v>
      </c>
      <c r="E83">
        <v>13</v>
      </c>
      <c r="F83">
        <v>2.6</v>
      </c>
      <c r="G83">
        <v>3</v>
      </c>
      <c r="H83">
        <v>0.6</v>
      </c>
      <c r="I83">
        <v>10</v>
      </c>
      <c r="J83">
        <v>2</v>
      </c>
      <c r="K83">
        <v>1</v>
      </c>
      <c r="L83">
        <v>0.2</v>
      </c>
      <c r="M83" s="16">
        <v>0.6</v>
      </c>
      <c r="N83" s="16">
        <v>0.4</v>
      </c>
    </row>
    <row r="84" spans="1:14">
      <c r="A84">
        <v>83</v>
      </c>
      <c r="B84" s="13">
        <v>46205</v>
      </c>
      <c r="C84" t="s">
        <v>75</v>
      </c>
      <c r="D84" t="s">
        <v>73</v>
      </c>
      <c r="E84">
        <v>10</v>
      </c>
      <c r="F84">
        <v>2</v>
      </c>
      <c r="G84">
        <v>3</v>
      </c>
      <c r="H84">
        <v>0.6</v>
      </c>
      <c r="I84">
        <v>7</v>
      </c>
      <c r="J84">
        <v>1.4</v>
      </c>
      <c r="K84">
        <v>3</v>
      </c>
      <c r="L84">
        <v>0.6</v>
      </c>
      <c r="M84" s="16">
        <v>0.6</v>
      </c>
      <c r="N84" s="16">
        <v>0</v>
      </c>
    </row>
    <row r="85" spans="1:14">
      <c r="A85">
        <v>84</v>
      </c>
      <c r="B85" s="13">
        <v>46205</v>
      </c>
      <c r="C85" t="s">
        <v>52</v>
      </c>
      <c r="D85" t="s">
        <v>67</v>
      </c>
      <c r="E85">
        <v>9</v>
      </c>
      <c r="F85">
        <v>1.8</v>
      </c>
      <c r="G85">
        <v>3</v>
      </c>
      <c r="H85">
        <v>0.6</v>
      </c>
      <c r="I85">
        <v>8</v>
      </c>
      <c r="J85">
        <v>1.6</v>
      </c>
      <c r="K85">
        <v>3</v>
      </c>
      <c r="L85">
        <v>0.6</v>
      </c>
      <c r="M85" s="16">
        <v>0.2</v>
      </c>
      <c r="N85" s="16">
        <v>0</v>
      </c>
    </row>
    <row r="86" spans="1:14">
      <c r="A86">
        <v>85</v>
      </c>
      <c r="B86" s="13">
        <v>46205</v>
      </c>
      <c r="C86" t="s">
        <v>38</v>
      </c>
      <c r="D86" t="s">
        <v>66</v>
      </c>
      <c r="E86">
        <v>12</v>
      </c>
      <c r="F86">
        <v>2.4</v>
      </c>
      <c r="G86">
        <v>3</v>
      </c>
      <c r="H86">
        <v>0.6</v>
      </c>
      <c r="I86">
        <v>10</v>
      </c>
      <c r="J86">
        <v>2</v>
      </c>
      <c r="K86">
        <v>3</v>
      </c>
      <c r="L86">
        <v>0.6</v>
      </c>
      <c r="M86" s="16">
        <v>0.4</v>
      </c>
      <c r="N86" s="16">
        <v>0</v>
      </c>
    </row>
    <row r="87" spans="1:14">
      <c r="A87">
        <v>86</v>
      </c>
      <c r="B87" s="13">
        <v>46206</v>
      </c>
      <c r="C87" t="s">
        <v>65</v>
      </c>
      <c r="D87" t="s">
        <v>53</v>
      </c>
      <c r="E87">
        <v>13</v>
      </c>
      <c r="F87">
        <v>2.6</v>
      </c>
      <c r="G87">
        <v>5</v>
      </c>
      <c r="H87">
        <v>1</v>
      </c>
      <c r="I87">
        <v>5</v>
      </c>
      <c r="J87">
        <v>1</v>
      </c>
      <c r="K87">
        <v>1</v>
      </c>
      <c r="L87">
        <v>0.2</v>
      </c>
      <c r="M87" s="16">
        <v>1.6</v>
      </c>
      <c r="N87" s="16">
        <v>0.8</v>
      </c>
    </row>
    <row r="88" spans="1:14">
      <c r="A88">
        <v>87</v>
      </c>
      <c r="B88" s="13">
        <v>46206</v>
      </c>
      <c r="C88" t="s">
        <v>78</v>
      </c>
      <c r="D88" t="s">
        <v>70</v>
      </c>
      <c r="E88">
        <v>9</v>
      </c>
      <c r="F88">
        <v>1.8</v>
      </c>
      <c r="G88">
        <v>4</v>
      </c>
      <c r="H88">
        <v>0.8</v>
      </c>
      <c r="I88">
        <v>3</v>
      </c>
      <c r="J88">
        <v>0.6</v>
      </c>
      <c r="K88">
        <v>1</v>
      </c>
      <c r="L88">
        <v>0.2</v>
      </c>
      <c r="M88" s="16">
        <v>1.2</v>
      </c>
      <c r="N88" s="16">
        <v>0.6</v>
      </c>
    </row>
    <row r="89" spans="1:14">
      <c r="A89">
        <v>88</v>
      </c>
      <c r="B89" s="13">
        <v>46206</v>
      </c>
      <c r="C89" t="s">
        <v>33</v>
      </c>
      <c r="D89" t="s">
        <v>58</v>
      </c>
      <c r="E89">
        <v>3</v>
      </c>
      <c r="F89">
        <v>0.6</v>
      </c>
      <c r="G89">
        <v>1</v>
      </c>
      <c r="H89">
        <v>0.2</v>
      </c>
      <c r="I89">
        <v>7</v>
      </c>
      <c r="J89">
        <v>1.4</v>
      </c>
      <c r="K89">
        <v>2</v>
      </c>
      <c r="L89">
        <v>0.4</v>
      </c>
      <c r="M89" s="16">
        <v>-0.8</v>
      </c>
      <c r="N89" s="16">
        <v>-0.2</v>
      </c>
    </row>
    <row r="90" spans="1:14">
      <c r="A90">
        <v>89</v>
      </c>
      <c r="B90" s="13">
        <v>46207</v>
      </c>
      <c r="C90" t="s">
        <v>29</v>
      </c>
      <c r="D90" t="s">
        <v>60</v>
      </c>
      <c r="E90">
        <v>7</v>
      </c>
      <c r="F90">
        <v>1.4</v>
      </c>
      <c r="G90">
        <v>2</v>
      </c>
      <c r="H90">
        <v>0.4</v>
      </c>
      <c r="I90">
        <v>16</v>
      </c>
      <c r="J90">
        <v>3.2</v>
      </c>
      <c r="K90">
        <v>5</v>
      </c>
      <c r="L90">
        <v>1</v>
      </c>
      <c r="M90" s="16">
        <v>-1.8</v>
      </c>
      <c r="N90" s="16">
        <v>-0.6</v>
      </c>
    </row>
    <row r="91" spans="1:14">
      <c r="A91">
        <v>90</v>
      </c>
      <c r="B91" s="13">
        <v>46207</v>
      </c>
      <c r="C91" t="s">
        <v>25</v>
      </c>
      <c r="D91" t="s">
        <v>36</v>
      </c>
      <c r="E91">
        <v>10</v>
      </c>
      <c r="F91">
        <v>2</v>
      </c>
      <c r="G91">
        <v>2</v>
      </c>
      <c r="H91">
        <v>0.4</v>
      </c>
      <c r="I91">
        <v>8</v>
      </c>
      <c r="J91">
        <v>1.6</v>
      </c>
      <c r="K91">
        <v>2</v>
      </c>
      <c r="L91">
        <v>0.4</v>
      </c>
      <c r="M91" s="16">
        <v>0.4</v>
      </c>
      <c r="N91" s="16">
        <v>0</v>
      </c>
    </row>
    <row r="92" spans="1:14">
      <c r="A92">
        <v>91</v>
      </c>
      <c r="B92" s="13">
        <v>46208</v>
      </c>
      <c r="C92" t="s">
        <v>35</v>
      </c>
      <c r="D92" t="s">
        <v>63</v>
      </c>
      <c r="E92">
        <v>11</v>
      </c>
      <c r="F92">
        <v>2.2000000000000002</v>
      </c>
      <c r="G92">
        <v>4</v>
      </c>
      <c r="H92">
        <v>0.8</v>
      </c>
      <c r="I92">
        <v>11</v>
      </c>
      <c r="J92">
        <v>2.2000000000000002</v>
      </c>
      <c r="K92">
        <v>3</v>
      </c>
      <c r="L92">
        <v>0.6</v>
      </c>
      <c r="M92" s="16">
        <v>0</v>
      </c>
      <c r="N92" s="16">
        <v>0.2</v>
      </c>
    </row>
    <row r="93" spans="1:14">
      <c r="A93">
        <v>92</v>
      </c>
      <c r="B93" s="13">
        <v>46208</v>
      </c>
      <c r="C93" t="s">
        <v>20</v>
      </c>
      <c r="D93" t="s">
        <v>72</v>
      </c>
      <c r="E93">
        <v>13</v>
      </c>
      <c r="F93">
        <v>2.6</v>
      </c>
      <c r="G93">
        <v>5</v>
      </c>
      <c r="H93">
        <v>1</v>
      </c>
      <c r="I93">
        <v>11</v>
      </c>
      <c r="J93">
        <v>2.2000000000000002</v>
      </c>
      <c r="K93">
        <v>4</v>
      </c>
      <c r="L93">
        <v>0.8</v>
      </c>
      <c r="M93" s="16">
        <v>0.4</v>
      </c>
      <c r="N93" s="16">
        <v>0.2</v>
      </c>
    </row>
    <row r="94" spans="1:14">
      <c r="A94">
        <v>93</v>
      </c>
      <c r="B94" s="13">
        <v>46209</v>
      </c>
      <c r="C94" t="s">
        <v>75</v>
      </c>
      <c r="D94" t="s">
        <v>52</v>
      </c>
      <c r="E94">
        <v>10</v>
      </c>
      <c r="F94">
        <v>2</v>
      </c>
      <c r="G94">
        <v>3</v>
      </c>
      <c r="H94">
        <v>0.6</v>
      </c>
      <c r="I94">
        <v>11</v>
      </c>
      <c r="J94">
        <v>2.2000000000000002</v>
      </c>
      <c r="K94">
        <v>4</v>
      </c>
      <c r="L94">
        <v>0.8</v>
      </c>
      <c r="M94" s="16">
        <v>-0.2</v>
      </c>
      <c r="N94" s="16">
        <v>-0.2</v>
      </c>
    </row>
    <row r="95" spans="1:14">
      <c r="A95">
        <v>94</v>
      </c>
      <c r="B95" s="13">
        <v>46209</v>
      </c>
      <c r="C95" t="s">
        <v>28</v>
      </c>
      <c r="D95" t="s">
        <v>57</v>
      </c>
      <c r="E95">
        <v>11</v>
      </c>
      <c r="F95">
        <v>2.2000000000000002</v>
      </c>
      <c r="G95">
        <v>3</v>
      </c>
      <c r="H95">
        <v>0.6</v>
      </c>
      <c r="I95">
        <v>14</v>
      </c>
      <c r="J95">
        <v>2.8</v>
      </c>
      <c r="K95">
        <v>3</v>
      </c>
      <c r="L95">
        <v>0.6</v>
      </c>
      <c r="M95" s="16">
        <v>-0.6</v>
      </c>
      <c r="N95" s="16">
        <v>0</v>
      </c>
    </row>
    <row r="96" spans="1:14">
      <c r="A96">
        <v>95</v>
      </c>
      <c r="B96" s="13">
        <v>46210</v>
      </c>
      <c r="C96" t="s">
        <v>65</v>
      </c>
      <c r="D96" t="s">
        <v>58</v>
      </c>
      <c r="E96">
        <v>14</v>
      </c>
      <c r="F96">
        <v>2.8</v>
      </c>
      <c r="G96">
        <v>5</v>
      </c>
      <c r="H96">
        <v>1</v>
      </c>
      <c r="I96">
        <v>7</v>
      </c>
      <c r="J96">
        <v>1.4</v>
      </c>
      <c r="K96">
        <v>1</v>
      </c>
      <c r="L96">
        <v>0.2</v>
      </c>
      <c r="M96" s="16">
        <v>1.4</v>
      </c>
      <c r="N96" s="16">
        <v>0.8</v>
      </c>
    </row>
    <row r="97" spans="1:14">
      <c r="A97">
        <v>96</v>
      </c>
      <c r="B97" s="13">
        <v>46210</v>
      </c>
      <c r="C97" t="s">
        <v>38</v>
      </c>
      <c r="D97" t="s">
        <v>78</v>
      </c>
      <c r="E97">
        <v>10</v>
      </c>
      <c r="F97">
        <v>2</v>
      </c>
      <c r="G97">
        <v>3</v>
      </c>
      <c r="H97">
        <v>0.6</v>
      </c>
      <c r="I97">
        <v>7</v>
      </c>
      <c r="J97">
        <v>1.4</v>
      </c>
      <c r="K97">
        <v>4</v>
      </c>
      <c r="L97">
        <v>0.8</v>
      </c>
      <c r="M97" s="16">
        <v>0.6</v>
      </c>
      <c r="N97" s="16">
        <v>-0.2</v>
      </c>
    </row>
    <row r="98" spans="1:14">
      <c r="A98">
        <v>97</v>
      </c>
      <c r="B98" s="13">
        <v>46212</v>
      </c>
      <c r="C98" t="s">
        <v>60</v>
      </c>
      <c r="D98" t="s">
        <v>36</v>
      </c>
      <c r="E98">
        <v>14</v>
      </c>
      <c r="F98">
        <v>2.8</v>
      </c>
      <c r="G98">
        <v>5</v>
      </c>
      <c r="H98">
        <v>1</v>
      </c>
      <c r="I98">
        <v>10</v>
      </c>
      <c r="J98">
        <v>2</v>
      </c>
      <c r="K98">
        <v>3</v>
      </c>
      <c r="L98">
        <v>0.6</v>
      </c>
      <c r="M98" s="16">
        <v>0.8</v>
      </c>
      <c r="N98" s="16">
        <v>0.4</v>
      </c>
    </row>
    <row r="99" spans="1:14">
      <c r="A99">
        <v>98</v>
      </c>
      <c r="B99" s="13">
        <v>46213</v>
      </c>
      <c r="C99" t="s">
        <v>52</v>
      </c>
      <c r="D99" t="s">
        <v>57</v>
      </c>
      <c r="E99">
        <v>9</v>
      </c>
      <c r="F99">
        <v>1.8</v>
      </c>
      <c r="G99">
        <v>4</v>
      </c>
      <c r="H99">
        <v>0.8</v>
      </c>
      <c r="I99">
        <v>13</v>
      </c>
      <c r="J99">
        <v>2.6</v>
      </c>
      <c r="K99">
        <v>3</v>
      </c>
      <c r="L99">
        <v>0.6</v>
      </c>
      <c r="M99" s="16">
        <v>-0.8</v>
      </c>
      <c r="N99" s="16">
        <v>0.2</v>
      </c>
    </row>
    <row r="100" spans="1:14">
      <c r="A100">
        <v>99</v>
      </c>
      <c r="B100" s="13">
        <v>46214</v>
      </c>
      <c r="C100" t="s">
        <v>63</v>
      </c>
      <c r="D100" t="s">
        <v>72</v>
      </c>
      <c r="E100">
        <v>12</v>
      </c>
      <c r="F100">
        <v>2.4</v>
      </c>
      <c r="G100">
        <v>4</v>
      </c>
      <c r="H100">
        <v>0.8</v>
      </c>
      <c r="I100">
        <v>11</v>
      </c>
      <c r="J100">
        <v>2.2000000000000002</v>
      </c>
      <c r="K100">
        <v>4</v>
      </c>
      <c r="L100">
        <v>0.8</v>
      </c>
      <c r="M100" s="16">
        <v>0.2</v>
      </c>
      <c r="N100" s="16">
        <v>0</v>
      </c>
    </row>
    <row r="101" spans="1:14">
      <c r="A101">
        <v>100</v>
      </c>
      <c r="B101" s="13">
        <v>46214</v>
      </c>
      <c r="C101" t="s">
        <v>65</v>
      </c>
      <c r="D101" t="s">
        <v>38</v>
      </c>
      <c r="E101">
        <v>14</v>
      </c>
      <c r="F101">
        <v>2.8</v>
      </c>
      <c r="G101">
        <v>5</v>
      </c>
      <c r="H101">
        <v>1</v>
      </c>
      <c r="I101">
        <v>9</v>
      </c>
      <c r="J101">
        <v>1.8</v>
      </c>
      <c r="K101">
        <v>3</v>
      </c>
      <c r="L101">
        <v>0.6</v>
      </c>
      <c r="M101" s="16">
        <v>1</v>
      </c>
      <c r="N101" s="16">
        <v>0.4</v>
      </c>
    </row>
    <row r="102" spans="1:14">
      <c r="A102">
        <v>101</v>
      </c>
      <c r="B102" s="13">
        <v>46217</v>
      </c>
      <c r="C102" t="s">
        <v>60</v>
      </c>
      <c r="D102" t="s">
        <v>52</v>
      </c>
      <c r="E102">
        <v>13</v>
      </c>
      <c r="F102">
        <v>2.6</v>
      </c>
      <c r="G102">
        <v>5</v>
      </c>
      <c r="H102">
        <v>1</v>
      </c>
      <c r="I102">
        <v>11</v>
      </c>
      <c r="J102">
        <v>2.2000000000000002</v>
      </c>
      <c r="K102">
        <v>5</v>
      </c>
      <c r="L102">
        <v>1</v>
      </c>
      <c r="M102" s="16">
        <v>0.4</v>
      </c>
      <c r="N102" s="16">
        <v>0</v>
      </c>
    </row>
    <row r="103" spans="1:14">
      <c r="A103">
        <v>102</v>
      </c>
      <c r="B103" s="13">
        <v>46218</v>
      </c>
      <c r="C103" t="s">
        <v>72</v>
      </c>
      <c r="D103" t="s">
        <v>65</v>
      </c>
      <c r="E103">
        <v>9</v>
      </c>
      <c r="F103">
        <v>1.8</v>
      </c>
      <c r="G103">
        <v>4</v>
      </c>
      <c r="H103">
        <v>0.8</v>
      </c>
      <c r="I103">
        <v>14</v>
      </c>
      <c r="J103">
        <v>2.8</v>
      </c>
      <c r="K103">
        <v>5</v>
      </c>
      <c r="L103">
        <v>1</v>
      </c>
      <c r="M103" s="16">
        <v>-1</v>
      </c>
      <c r="N103" s="16">
        <v>-0.2</v>
      </c>
    </row>
    <row r="104" spans="1:14">
      <c r="A104">
        <v>103</v>
      </c>
      <c r="B104" s="13">
        <v>46221</v>
      </c>
      <c r="C104" t="s">
        <v>60</v>
      </c>
      <c r="D104" t="s">
        <v>72</v>
      </c>
      <c r="E104">
        <v>10</v>
      </c>
      <c r="F104">
        <v>2</v>
      </c>
      <c r="G104">
        <v>4</v>
      </c>
      <c r="H104">
        <v>0.8</v>
      </c>
      <c r="I104">
        <v>10</v>
      </c>
      <c r="J104">
        <v>2</v>
      </c>
      <c r="K104">
        <v>4</v>
      </c>
      <c r="L104">
        <v>0.8</v>
      </c>
      <c r="M104" s="16">
        <v>0</v>
      </c>
      <c r="N104" s="16">
        <v>0</v>
      </c>
    </row>
    <row r="105" spans="1:14">
      <c r="A105">
        <v>104</v>
      </c>
      <c r="B105" s="13">
        <v>46222</v>
      </c>
      <c r="C105" t="s">
        <v>52</v>
      </c>
      <c r="D105" t="s">
        <v>65</v>
      </c>
      <c r="E105">
        <v>9</v>
      </c>
      <c r="F105">
        <v>1.8</v>
      </c>
      <c r="G105">
        <v>5</v>
      </c>
      <c r="H105">
        <v>1</v>
      </c>
      <c r="I105">
        <v>14</v>
      </c>
      <c r="J105">
        <v>2.8</v>
      </c>
      <c r="K105">
        <v>5</v>
      </c>
      <c r="L105">
        <v>1</v>
      </c>
      <c r="M105" s="16">
        <v>-1</v>
      </c>
      <c r="N105" s="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41"/>
  <sheetViews>
    <sheetView workbookViewId="0">
      <pane ySplit="1" topLeftCell="A2" activePane="bottomLeft" state="frozen"/>
      <selection pane="bottomLeft" activeCell="Q12" sqref="Q12"/>
    </sheetView>
  </sheetViews>
  <sheetFormatPr defaultRowHeight="14.25"/>
  <cols>
    <col min="1" max="3" width="16" customWidth="1"/>
    <col min="4" max="4" width="23" customWidth="1"/>
    <col min="5" max="7" width="16" customWidth="1"/>
    <col min="8" max="8" width="24" customWidth="1"/>
    <col min="9" max="12" width="16" customWidth="1"/>
    <col min="13" max="13" width="20" customWidth="1"/>
    <col min="14" max="14" width="16" customWidth="1"/>
  </cols>
  <sheetData>
    <row r="1" spans="1:14" ht="26.1" customHeight="1">
      <c r="A1" s="15" t="s">
        <v>0</v>
      </c>
      <c r="B1" s="17" t="s">
        <v>157</v>
      </c>
      <c r="C1" s="15" t="s">
        <v>158</v>
      </c>
      <c r="D1" s="15" t="s">
        <v>159</v>
      </c>
      <c r="E1" s="15" t="s">
        <v>160</v>
      </c>
      <c r="F1" s="17" t="s">
        <v>161</v>
      </c>
      <c r="G1" s="15" t="s">
        <v>162</v>
      </c>
      <c r="H1" s="15" t="s">
        <v>163</v>
      </c>
      <c r="I1" s="15" t="s">
        <v>164</v>
      </c>
      <c r="J1" s="15" t="s">
        <v>165</v>
      </c>
      <c r="K1" s="15" t="s">
        <v>166</v>
      </c>
      <c r="L1" s="15" t="s">
        <v>167</v>
      </c>
      <c r="M1" s="15" t="s">
        <v>168</v>
      </c>
      <c r="N1" s="15" t="s">
        <v>169</v>
      </c>
    </row>
    <row r="2" spans="1:14">
      <c r="A2">
        <v>1</v>
      </c>
      <c r="B2">
        <v>46184</v>
      </c>
      <c r="C2" t="s">
        <v>19</v>
      </c>
      <c r="D2" t="s">
        <v>20</v>
      </c>
      <c r="E2">
        <v>1</v>
      </c>
      <c r="F2">
        <v>46177</v>
      </c>
      <c r="G2" t="s">
        <v>20</v>
      </c>
      <c r="H2" t="s">
        <v>170</v>
      </c>
      <c r="I2">
        <v>5</v>
      </c>
      <c r="J2">
        <v>1</v>
      </c>
      <c r="K2" t="s">
        <v>171</v>
      </c>
      <c r="L2">
        <v>1</v>
      </c>
      <c r="M2" t="s">
        <v>172</v>
      </c>
      <c r="N2">
        <v>1242</v>
      </c>
    </row>
    <row r="3" spans="1:14">
      <c r="A3">
        <v>1</v>
      </c>
      <c r="B3">
        <v>46184</v>
      </c>
      <c r="C3" t="s">
        <v>19</v>
      </c>
      <c r="D3" t="s">
        <v>20</v>
      </c>
      <c r="E3">
        <v>2</v>
      </c>
      <c r="F3">
        <v>46172</v>
      </c>
      <c r="G3" t="s">
        <v>20</v>
      </c>
      <c r="H3" t="s">
        <v>33</v>
      </c>
      <c r="I3">
        <v>1</v>
      </c>
      <c r="J3">
        <v>0</v>
      </c>
      <c r="K3" t="s">
        <v>171</v>
      </c>
      <c r="L3">
        <v>1</v>
      </c>
      <c r="M3" t="s">
        <v>172</v>
      </c>
      <c r="N3">
        <v>1194</v>
      </c>
    </row>
    <row r="4" spans="1:14">
      <c r="A4">
        <v>1</v>
      </c>
      <c r="B4">
        <v>46184</v>
      </c>
      <c r="C4" t="s">
        <v>19</v>
      </c>
      <c r="D4" t="s">
        <v>20</v>
      </c>
      <c r="E4">
        <v>3</v>
      </c>
      <c r="F4">
        <v>46164</v>
      </c>
      <c r="G4" t="s">
        <v>20</v>
      </c>
      <c r="H4" t="s">
        <v>70</v>
      </c>
      <c r="I4">
        <v>2</v>
      </c>
      <c r="J4">
        <v>0</v>
      </c>
      <c r="K4" t="s">
        <v>171</v>
      </c>
      <c r="L4">
        <v>1</v>
      </c>
      <c r="M4" t="s">
        <v>172</v>
      </c>
      <c r="N4">
        <v>1182</v>
      </c>
    </row>
    <row r="5" spans="1:14">
      <c r="A5">
        <v>1</v>
      </c>
      <c r="B5">
        <v>46184</v>
      </c>
      <c r="C5" t="s">
        <v>19</v>
      </c>
      <c r="D5" t="s">
        <v>20</v>
      </c>
      <c r="E5">
        <v>4</v>
      </c>
      <c r="F5">
        <v>46112</v>
      </c>
      <c r="G5" t="s">
        <v>20</v>
      </c>
      <c r="H5" t="s">
        <v>57</v>
      </c>
      <c r="I5">
        <v>1</v>
      </c>
      <c r="J5">
        <v>1</v>
      </c>
      <c r="K5" t="s">
        <v>27</v>
      </c>
      <c r="L5">
        <v>0</v>
      </c>
      <c r="M5" t="s">
        <v>172</v>
      </c>
      <c r="N5">
        <v>1150</v>
      </c>
    </row>
    <row r="6" spans="1:14">
      <c r="A6">
        <v>1</v>
      </c>
      <c r="B6">
        <v>46184</v>
      </c>
      <c r="C6" t="s">
        <v>19</v>
      </c>
      <c r="D6" t="s">
        <v>20</v>
      </c>
      <c r="E6">
        <v>5</v>
      </c>
      <c r="F6">
        <v>46109</v>
      </c>
      <c r="G6" t="s">
        <v>20</v>
      </c>
      <c r="H6" t="s">
        <v>75</v>
      </c>
      <c r="I6">
        <v>0</v>
      </c>
      <c r="J6">
        <v>0</v>
      </c>
      <c r="K6" t="s">
        <v>27</v>
      </c>
      <c r="L6">
        <v>0</v>
      </c>
      <c r="M6" t="s">
        <v>172</v>
      </c>
      <c r="N6">
        <v>1098</v>
      </c>
    </row>
    <row r="7" spans="1:14">
      <c r="A7">
        <v>1</v>
      </c>
      <c r="B7">
        <v>46184</v>
      </c>
      <c r="C7" t="s">
        <v>24</v>
      </c>
      <c r="D7" t="s">
        <v>21</v>
      </c>
      <c r="E7">
        <v>1</v>
      </c>
      <c r="F7">
        <v>46179</v>
      </c>
      <c r="G7" t="s">
        <v>21</v>
      </c>
      <c r="H7" t="s">
        <v>173</v>
      </c>
      <c r="I7">
        <v>1</v>
      </c>
      <c r="J7">
        <v>0</v>
      </c>
      <c r="K7" t="s">
        <v>171</v>
      </c>
      <c r="L7">
        <v>1</v>
      </c>
      <c r="M7" t="s">
        <v>172</v>
      </c>
      <c r="N7">
        <v>1283</v>
      </c>
    </row>
    <row r="8" spans="1:14">
      <c r="A8">
        <v>1</v>
      </c>
      <c r="B8">
        <v>46184</v>
      </c>
      <c r="C8" t="s">
        <v>24</v>
      </c>
      <c r="D8" t="s">
        <v>21</v>
      </c>
      <c r="E8">
        <v>2</v>
      </c>
      <c r="F8">
        <v>46171</v>
      </c>
      <c r="G8" t="s">
        <v>21</v>
      </c>
      <c r="H8" t="s">
        <v>174</v>
      </c>
      <c r="I8">
        <v>0</v>
      </c>
      <c r="J8">
        <v>0</v>
      </c>
      <c r="K8" t="s">
        <v>27</v>
      </c>
      <c r="L8">
        <v>0</v>
      </c>
      <c r="M8" t="s">
        <v>172</v>
      </c>
      <c r="N8">
        <v>1191</v>
      </c>
    </row>
    <row r="9" spans="1:14">
      <c r="A9">
        <v>1</v>
      </c>
      <c r="B9">
        <v>46184</v>
      </c>
      <c r="C9" t="s">
        <v>24</v>
      </c>
      <c r="D9" t="s">
        <v>21</v>
      </c>
      <c r="E9">
        <v>3</v>
      </c>
      <c r="F9">
        <v>46112</v>
      </c>
      <c r="G9" t="s">
        <v>21</v>
      </c>
      <c r="H9" t="s">
        <v>71</v>
      </c>
      <c r="I9">
        <v>1</v>
      </c>
      <c r="J9">
        <v>2</v>
      </c>
      <c r="K9" t="s">
        <v>69</v>
      </c>
      <c r="L9">
        <v>0</v>
      </c>
      <c r="M9" t="s">
        <v>172</v>
      </c>
      <c r="N9">
        <v>1163</v>
      </c>
    </row>
    <row r="10" spans="1:14">
      <c r="A10">
        <v>1</v>
      </c>
      <c r="B10">
        <v>46184</v>
      </c>
      <c r="C10" t="s">
        <v>24</v>
      </c>
      <c r="D10" t="s">
        <v>21</v>
      </c>
      <c r="E10">
        <v>4</v>
      </c>
      <c r="F10">
        <v>46108</v>
      </c>
      <c r="G10" t="s">
        <v>21</v>
      </c>
      <c r="H10" t="s">
        <v>71</v>
      </c>
      <c r="I10">
        <v>1</v>
      </c>
      <c r="J10">
        <v>1</v>
      </c>
      <c r="K10" t="s">
        <v>27</v>
      </c>
      <c r="L10">
        <v>0</v>
      </c>
      <c r="M10" t="s">
        <v>172</v>
      </c>
      <c r="N10">
        <v>1071</v>
      </c>
    </row>
    <row r="11" spans="1:14">
      <c r="A11">
        <v>1</v>
      </c>
      <c r="B11">
        <v>46184</v>
      </c>
      <c r="C11" t="s">
        <v>24</v>
      </c>
      <c r="D11" t="s">
        <v>21</v>
      </c>
      <c r="E11">
        <v>5</v>
      </c>
      <c r="F11">
        <v>46026</v>
      </c>
      <c r="G11" t="s">
        <v>21</v>
      </c>
      <c r="H11" t="s">
        <v>175</v>
      </c>
      <c r="I11">
        <v>1</v>
      </c>
      <c r="J11">
        <v>2</v>
      </c>
      <c r="K11" t="s">
        <v>69</v>
      </c>
      <c r="L11">
        <v>0</v>
      </c>
      <c r="M11" t="s">
        <v>176</v>
      </c>
      <c r="N11">
        <v>1007</v>
      </c>
    </row>
    <row r="12" spans="1:14">
      <c r="A12">
        <v>2</v>
      </c>
      <c r="B12">
        <v>46184</v>
      </c>
      <c r="C12" t="s">
        <v>19</v>
      </c>
      <c r="D12" t="s">
        <v>22</v>
      </c>
      <c r="E12">
        <v>1</v>
      </c>
      <c r="F12">
        <v>46176</v>
      </c>
      <c r="G12" t="s">
        <v>177</v>
      </c>
      <c r="H12" t="s">
        <v>178</v>
      </c>
      <c r="I12">
        <v>1</v>
      </c>
      <c r="J12">
        <v>0</v>
      </c>
      <c r="K12" t="s">
        <v>171</v>
      </c>
      <c r="L12">
        <v>1</v>
      </c>
      <c r="M12" t="s">
        <v>172</v>
      </c>
      <c r="N12">
        <v>1227</v>
      </c>
    </row>
    <row r="13" spans="1:14">
      <c r="A13">
        <v>2</v>
      </c>
      <c r="B13">
        <v>46184</v>
      </c>
      <c r="C13" t="s">
        <v>19</v>
      </c>
      <c r="D13" t="s">
        <v>22</v>
      </c>
      <c r="E13">
        <v>2</v>
      </c>
      <c r="F13">
        <v>46172</v>
      </c>
      <c r="G13" t="s">
        <v>177</v>
      </c>
      <c r="H13" t="s">
        <v>179</v>
      </c>
      <c r="I13">
        <v>5</v>
      </c>
      <c r="J13">
        <v>0</v>
      </c>
      <c r="K13" t="s">
        <v>171</v>
      </c>
      <c r="L13">
        <v>1</v>
      </c>
      <c r="M13" t="s">
        <v>172</v>
      </c>
      <c r="N13">
        <v>1193</v>
      </c>
    </row>
    <row r="14" spans="1:14">
      <c r="A14">
        <v>2</v>
      </c>
      <c r="B14">
        <v>46184</v>
      </c>
      <c r="C14" t="s">
        <v>19</v>
      </c>
      <c r="D14" t="s">
        <v>22</v>
      </c>
      <c r="E14">
        <v>3</v>
      </c>
      <c r="F14">
        <v>46112</v>
      </c>
      <c r="G14" t="s">
        <v>177</v>
      </c>
      <c r="H14" t="s">
        <v>67</v>
      </c>
      <c r="I14">
        <v>0</v>
      </c>
      <c r="J14">
        <v>1</v>
      </c>
      <c r="K14" t="s">
        <v>69</v>
      </c>
      <c r="L14">
        <v>0</v>
      </c>
      <c r="M14" t="s">
        <v>172</v>
      </c>
      <c r="N14">
        <v>1136</v>
      </c>
    </row>
    <row r="15" spans="1:14">
      <c r="A15">
        <v>2</v>
      </c>
      <c r="B15">
        <v>46184</v>
      </c>
      <c r="C15" t="s">
        <v>19</v>
      </c>
      <c r="D15" t="s">
        <v>22</v>
      </c>
      <c r="E15">
        <v>4</v>
      </c>
      <c r="F15">
        <v>46109</v>
      </c>
      <c r="G15" t="s">
        <v>177</v>
      </c>
      <c r="H15" t="s">
        <v>180</v>
      </c>
      <c r="I15">
        <v>0</v>
      </c>
      <c r="J15">
        <v>4</v>
      </c>
      <c r="K15" t="s">
        <v>69</v>
      </c>
      <c r="L15">
        <v>0</v>
      </c>
      <c r="M15" t="s">
        <v>172</v>
      </c>
      <c r="N15">
        <v>1097</v>
      </c>
    </row>
    <row r="16" spans="1:14">
      <c r="A16">
        <v>2</v>
      </c>
      <c r="B16">
        <v>46184</v>
      </c>
      <c r="C16" t="s">
        <v>19</v>
      </c>
      <c r="D16" t="s">
        <v>22</v>
      </c>
      <c r="E16">
        <v>5</v>
      </c>
      <c r="F16">
        <v>45979</v>
      </c>
      <c r="G16" t="s">
        <v>177</v>
      </c>
      <c r="H16" t="s">
        <v>70</v>
      </c>
      <c r="I16">
        <v>1</v>
      </c>
      <c r="J16">
        <v>0</v>
      </c>
      <c r="K16" t="s">
        <v>171</v>
      </c>
      <c r="L16">
        <v>1</v>
      </c>
      <c r="M16" t="s">
        <v>172</v>
      </c>
      <c r="N16">
        <v>902</v>
      </c>
    </row>
    <row r="17" spans="1:14">
      <c r="A17">
        <v>2</v>
      </c>
      <c r="B17">
        <v>46184</v>
      </c>
      <c r="C17" t="s">
        <v>24</v>
      </c>
      <c r="D17" t="s">
        <v>23</v>
      </c>
      <c r="E17">
        <v>1</v>
      </c>
      <c r="F17">
        <v>46177</v>
      </c>
      <c r="G17" t="s">
        <v>181</v>
      </c>
      <c r="H17" t="s">
        <v>182</v>
      </c>
      <c r="I17">
        <v>5</v>
      </c>
      <c r="J17">
        <v>1</v>
      </c>
      <c r="K17" t="s">
        <v>171</v>
      </c>
      <c r="L17">
        <v>1</v>
      </c>
      <c r="M17" t="s">
        <v>172</v>
      </c>
      <c r="N17">
        <v>1239</v>
      </c>
    </row>
    <row r="18" spans="1:14">
      <c r="A18">
        <v>2</v>
      </c>
      <c r="B18">
        <v>46184</v>
      </c>
      <c r="C18" t="s">
        <v>24</v>
      </c>
      <c r="D18" t="s">
        <v>23</v>
      </c>
      <c r="E18">
        <v>2</v>
      </c>
      <c r="F18">
        <v>46173</v>
      </c>
      <c r="G18" t="s">
        <v>181</v>
      </c>
      <c r="H18" t="s">
        <v>183</v>
      </c>
      <c r="I18">
        <v>2</v>
      </c>
      <c r="J18">
        <v>1</v>
      </c>
      <c r="K18" t="s">
        <v>171</v>
      </c>
      <c r="L18">
        <v>1</v>
      </c>
      <c r="M18" t="s">
        <v>172</v>
      </c>
      <c r="N18">
        <v>1200</v>
      </c>
    </row>
    <row r="19" spans="1:14">
      <c r="A19">
        <v>2</v>
      </c>
      <c r="B19">
        <v>46184</v>
      </c>
      <c r="C19" t="s">
        <v>24</v>
      </c>
      <c r="D19" t="s">
        <v>23</v>
      </c>
      <c r="E19">
        <v>3</v>
      </c>
      <c r="F19">
        <v>46112</v>
      </c>
      <c r="G19" t="s">
        <v>181</v>
      </c>
      <c r="H19" t="s">
        <v>184</v>
      </c>
      <c r="I19">
        <v>2</v>
      </c>
      <c r="J19">
        <v>2</v>
      </c>
      <c r="K19" t="s">
        <v>27</v>
      </c>
      <c r="L19">
        <v>0</v>
      </c>
      <c r="M19" t="s">
        <v>185</v>
      </c>
      <c r="N19">
        <v>1173</v>
      </c>
    </row>
    <row r="20" spans="1:14">
      <c r="A20">
        <v>2</v>
      </c>
      <c r="B20">
        <v>46184</v>
      </c>
      <c r="C20" t="s">
        <v>24</v>
      </c>
      <c r="D20" t="s">
        <v>23</v>
      </c>
      <c r="E20">
        <v>4</v>
      </c>
      <c r="F20">
        <v>46107</v>
      </c>
      <c r="G20" t="s">
        <v>181</v>
      </c>
      <c r="H20" t="s">
        <v>186</v>
      </c>
      <c r="I20">
        <v>2</v>
      </c>
      <c r="J20">
        <v>2</v>
      </c>
      <c r="K20" t="s">
        <v>27</v>
      </c>
      <c r="L20">
        <v>0</v>
      </c>
      <c r="M20" t="s">
        <v>185</v>
      </c>
      <c r="N20">
        <v>1047</v>
      </c>
    </row>
    <row r="21" spans="1:14">
      <c r="A21">
        <v>2</v>
      </c>
      <c r="B21">
        <v>46184</v>
      </c>
      <c r="C21" t="s">
        <v>24</v>
      </c>
      <c r="D21" t="s">
        <v>23</v>
      </c>
      <c r="E21">
        <v>5</v>
      </c>
      <c r="F21">
        <v>45978</v>
      </c>
      <c r="G21" t="s">
        <v>181</v>
      </c>
      <c r="H21" t="s">
        <v>187</v>
      </c>
      <c r="I21">
        <v>6</v>
      </c>
      <c r="J21">
        <v>0</v>
      </c>
      <c r="K21" t="s">
        <v>171</v>
      </c>
      <c r="L21">
        <v>1</v>
      </c>
      <c r="M21" t="s">
        <v>185</v>
      </c>
      <c r="N21">
        <v>870</v>
      </c>
    </row>
    <row r="22" spans="1:14">
      <c r="A22">
        <v>3</v>
      </c>
      <c r="B22">
        <v>46185</v>
      </c>
      <c r="C22" t="s">
        <v>19</v>
      </c>
      <c r="D22" t="s">
        <v>25</v>
      </c>
      <c r="E22">
        <v>1</v>
      </c>
      <c r="F22">
        <v>46178</v>
      </c>
      <c r="G22" t="s">
        <v>25</v>
      </c>
      <c r="H22" t="s">
        <v>186</v>
      </c>
      <c r="I22">
        <v>1</v>
      </c>
      <c r="J22">
        <v>1</v>
      </c>
      <c r="K22" t="s">
        <v>27</v>
      </c>
      <c r="L22">
        <v>0</v>
      </c>
      <c r="M22" t="s">
        <v>172</v>
      </c>
      <c r="N22">
        <v>1250</v>
      </c>
    </row>
    <row r="23" spans="1:14">
      <c r="A23">
        <v>3</v>
      </c>
      <c r="B23">
        <v>46185</v>
      </c>
      <c r="C23" t="s">
        <v>19</v>
      </c>
      <c r="D23" t="s">
        <v>25</v>
      </c>
      <c r="E23">
        <v>2</v>
      </c>
      <c r="F23">
        <v>46174</v>
      </c>
      <c r="G23" t="s">
        <v>25</v>
      </c>
      <c r="H23" t="s">
        <v>77</v>
      </c>
      <c r="I23">
        <v>2</v>
      </c>
      <c r="J23">
        <v>0</v>
      </c>
      <c r="K23" t="s">
        <v>171</v>
      </c>
      <c r="L23">
        <v>1</v>
      </c>
      <c r="M23" t="s">
        <v>172</v>
      </c>
      <c r="N23">
        <v>1209</v>
      </c>
    </row>
    <row r="24" spans="1:14">
      <c r="A24">
        <v>3</v>
      </c>
      <c r="B24">
        <v>46185</v>
      </c>
      <c r="C24" t="s">
        <v>19</v>
      </c>
      <c r="D24" t="s">
        <v>25</v>
      </c>
      <c r="E24">
        <v>3</v>
      </c>
      <c r="F24">
        <v>46112</v>
      </c>
      <c r="G24" t="s">
        <v>25</v>
      </c>
      <c r="H24" t="s">
        <v>48</v>
      </c>
      <c r="I24">
        <v>0</v>
      </c>
      <c r="J24">
        <v>0</v>
      </c>
      <c r="K24" t="s">
        <v>27</v>
      </c>
      <c r="L24">
        <v>0</v>
      </c>
      <c r="M24" t="s">
        <v>172</v>
      </c>
      <c r="N24">
        <v>1140</v>
      </c>
    </row>
    <row r="25" spans="1:14">
      <c r="A25">
        <v>3</v>
      </c>
      <c r="B25">
        <v>46185</v>
      </c>
      <c r="C25" t="s">
        <v>19</v>
      </c>
      <c r="D25" t="s">
        <v>25</v>
      </c>
      <c r="E25">
        <v>4</v>
      </c>
      <c r="F25">
        <v>46109</v>
      </c>
      <c r="G25" t="s">
        <v>25</v>
      </c>
      <c r="H25" t="s">
        <v>188</v>
      </c>
      <c r="I25">
        <v>2</v>
      </c>
      <c r="J25">
        <v>2</v>
      </c>
      <c r="K25" t="s">
        <v>27</v>
      </c>
      <c r="L25">
        <v>0</v>
      </c>
      <c r="M25" t="s">
        <v>172</v>
      </c>
      <c r="N25">
        <v>1094</v>
      </c>
    </row>
    <row r="26" spans="1:14">
      <c r="A26">
        <v>3</v>
      </c>
      <c r="B26">
        <v>46185</v>
      </c>
      <c r="C26" t="s">
        <v>19</v>
      </c>
      <c r="D26" t="s">
        <v>25</v>
      </c>
      <c r="E26">
        <v>5</v>
      </c>
      <c r="F26">
        <v>45979</v>
      </c>
      <c r="G26" t="s">
        <v>25</v>
      </c>
      <c r="H26" t="s">
        <v>189</v>
      </c>
      <c r="I26">
        <v>2</v>
      </c>
      <c r="J26">
        <v>0</v>
      </c>
      <c r="K26" t="s">
        <v>171</v>
      </c>
      <c r="L26">
        <v>1</v>
      </c>
      <c r="M26" t="s">
        <v>172</v>
      </c>
      <c r="N26">
        <v>896</v>
      </c>
    </row>
    <row r="27" spans="1:14">
      <c r="A27">
        <v>3</v>
      </c>
      <c r="B27">
        <v>46185</v>
      </c>
      <c r="C27" t="s">
        <v>24</v>
      </c>
      <c r="D27" t="s">
        <v>26</v>
      </c>
      <c r="E27">
        <v>1</v>
      </c>
      <c r="F27">
        <v>46179</v>
      </c>
      <c r="G27" t="s">
        <v>26</v>
      </c>
      <c r="H27" t="s">
        <v>71</v>
      </c>
      <c r="I27">
        <v>1</v>
      </c>
      <c r="J27">
        <v>1</v>
      </c>
      <c r="K27" t="s">
        <v>27</v>
      </c>
      <c r="L27">
        <v>0</v>
      </c>
      <c r="M27" t="s">
        <v>172</v>
      </c>
      <c r="N27">
        <v>1285</v>
      </c>
    </row>
    <row r="28" spans="1:14">
      <c r="A28">
        <v>3</v>
      </c>
      <c r="B28">
        <v>46185</v>
      </c>
      <c r="C28" t="s">
        <v>24</v>
      </c>
      <c r="D28" t="s">
        <v>26</v>
      </c>
      <c r="E28">
        <v>2</v>
      </c>
      <c r="F28">
        <v>46171</v>
      </c>
      <c r="G28" t="s">
        <v>26</v>
      </c>
      <c r="H28" t="s">
        <v>190</v>
      </c>
      <c r="I28">
        <v>0</v>
      </c>
      <c r="J28">
        <v>0</v>
      </c>
      <c r="K28" t="s">
        <v>27</v>
      </c>
      <c r="L28">
        <v>0</v>
      </c>
      <c r="M28" t="s">
        <v>172</v>
      </c>
      <c r="N28">
        <v>1189</v>
      </c>
    </row>
    <row r="29" spans="1:14">
      <c r="A29">
        <v>3</v>
      </c>
      <c r="B29">
        <v>46185</v>
      </c>
      <c r="C29" t="s">
        <v>24</v>
      </c>
      <c r="D29" t="s">
        <v>26</v>
      </c>
      <c r="E29">
        <v>3</v>
      </c>
      <c r="F29">
        <v>46112</v>
      </c>
      <c r="G29" t="s">
        <v>26</v>
      </c>
      <c r="H29" t="s">
        <v>191</v>
      </c>
      <c r="I29">
        <v>1</v>
      </c>
      <c r="J29">
        <v>1</v>
      </c>
      <c r="K29" t="s">
        <v>27</v>
      </c>
      <c r="L29">
        <v>0</v>
      </c>
      <c r="M29" t="s">
        <v>185</v>
      </c>
      <c r="N29">
        <v>1170</v>
      </c>
    </row>
    <row r="30" spans="1:14">
      <c r="A30">
        <v>3</v>
      </c>
      <c r="B30">
        <v>46185</v>
      </c>
      <c r="C30" t="s">
        <v>24</v>
      </c>
      <c r="D30" t="s">
        <v>26</v>
      </c>
      <c r="E30">
        <v>4</v>
      </c>
      <c r="F30">
        <v>46107</v>
      </c>
      <c r="G30" t="s">
        <v>26</v>
      </c>
      <c r="H30" t="s">
        <v>192</v>
      </c>
      <c r="I30">
        <v>1</v>
      </c>
      <c r="J30">
        <v>1</v>
      </c>
      <c r="K30" t="s">
        <v>27</v>
      </c>
      <c r="L30">
        <v>0</v>
      </c>
      <c r="M30" t="s">
        <v>185</v>
      </c>
      <c r="N30">
        <v>1042</v>
      </c>
    </row>
    <row r="31" spans="1:14">
      <c r="A31">
        <v>3</v>
      </c>
      <c r="B31">
        <v>46185</v>
      </c>
      <c r="C31" t="s">
        <v>24</v>
      </c>
      <c r="D31" t="s">
        <v>26</v>
      </c>
      <c r="E31">
        <v>5</v>
      </c>
      <c r="F31">
        <v>45979</v>
      </c>
      <c r="G31" t="s">
        <v>26</v>
      </c>
      <c r="H31" t="s">
        <v>67</v>
      </c>
      <c r="I31">
        <v>1</v>
      </c>
      <c r="J31">
        <v>1</v>
      </c>
      <c r="K31" t="s">
        <v>27</v>
      </c>
      <c r="L31">
        <v>0</v>
      </c>
      <c r="M31" t="s">
        <v>185</v>
      </c>
      <c r="N31">
        <v>912</v>
      </c>
    </row>
    <row r="32" spans="1:14">
      <c r="A32">
        <v>4</v>
      </c>
      <c r="B32">
        <v>46185</v>
      </c>
      <c r="C32" t="s">
        <v>19</v>
      </c>
      <c r="D32" t="s">
        <v>28</v>
      </c>
      <c r="E32">
        <v>1</v>
      </c>
      <c r="F32">
        <v>46179</v>
      </c>
      <c r="G32" t="s">
        <v>193</v>
      </c>
      <c r="H32" t="s">
        <v>42</v>
      </c>
      <c r="I32">
        <v>1</v>
      </c>
      <c r="J32">
        <v>2</v>
      </c>
      <c r="K32" t="s">
        <v>69</v>
      </c>
      <c r="L32">
        <v>0</v>
      </c>
      <c r="M32" t="s">
        <v>172</v>
      </c>
      <c r="N32">
        <v>1289</v>
      </c>
    </row>
    <row r="33" spans="1:14">
      <c r="A33">
        <v>4</v>
      </c>
      <c r="B33">
        <v>46185</v>
      </c>
      <c r="C33" t="s">
        <v>19</v>
      </c>
      <c r="D33" t="s">
        <v>28</v>
      </c>
      <c r="E33">
        <v>2</v>
      </c>
      <c r="F33">
        <v>46173</v>
      </c>
      <c r="G33" t="s">
        <v>193</v>
      </c>
      <c r="H33" t="s">
        <v>61</v>
      </c>
      <c r="I33">
        <v>3</v>
      </c>
      <c r="J33">
        <v>2</v>
      </c>
      <c r="K33" t="s">
        <v>171</v>
      </c>
      <c r="L33">
        <v>1</v>
      </c>
      <c r="M33" t="s">
        <v>172</v>
      </c>
      <c r="N33">
        <v>1205</v>
      </c>
    </row>
    <row r="34" spans="1:14">
      <c r="A34">
        <v>4</v>
      </c>
      <c r="B34">
        <v>46185</v>
      </c>
      <c r="C34" t="s">
        <v>19</v>
      </c>
      <c r="D34" t="s">
        <v>28</v>
      </c>
      <c r="E34">
        <v>3</v>
      </c>
      <c r="F34">
        <v>46112</v>
      </c>
      <c r="G34" t="s">
        <v>193</v>
      </c>
      <c r="H34" t="s">
        <v>75</v>
      </c>
      <c r="I34">
        <v>0</v>
      </c>
      <c r="J34">
        <v>2</v>
      </c>
      <c r="K34" t="s">
        <v>69</v>
      </c>
      <c r="L34">
        <v>0</v>
      </c>
      <c r="M34" t="s">
        <v>172</v>
      </c>
      <c r="N34">
        <v>1166</v>
      </c>
    </row>
    <row r="35" spans="1:14">
      <c r="A35">
        <v>4</v>
      </c>
      <c r="B35">
        <v>46185</v>
      </c>
      <c r="C35" t="s">
        <v>19</v>
      </c>
      <c r="D35" t="s">
        <v>28</v>
      </c>
      <c r="E35">
        <v>4</v>
      </c>
      <c r="F35">
        <v>46109</v>
      </c>
      <c r="G35" t="s">
        <v>193</v>
      </c>
      <c r="H35" t="s">
        <v>57</v>
      </c>
      <c r="I35">
        <v>2</v>
      </c>
      <c r="J35">
        <v>5</v>
      </c>
      <c r="K35" t="s">
        <v>69</v>
      </c>
      <c r="L35">
        <v>0</v>
      </c>
      <c r="M35" t="s">
        <v>172</v>
      </c>
      <c r="N35">
        <v>1102</v>
      </c>
    </row>
    <row r="36" spans="1:14">
      <c r="A36">
        <v>4</v>
      </c>
      <c r="B36">
        <v>46185</v>
      </c>
      <c r="C36" t="s">
        <v>19</v>
      </c>
      <c r="D36" t="s">
        <v>28</v>
      </c>
      <c r="E36">
        <v>5</v>
      </c>
      <c r="F36">
        <v>45979</v>
      </c>
      <c r="G36" t="s">
        <v>193</v>
      </c>
      <c r="H36" t="s">
        <v>51</v>
      </c>
      <c r="I36">
        <v>5</v>
      </c>
      <c r="J36">
        <v>1</v>
      </c>
      <c r="K36" t="s">
        <v>171</v>
      </c>
      <c r="L36">
        <v>1</v>
      </c>
      <c r="M36" t="s">
        <v>172</v>
      </c>
      <c r="N36">
        <v>904</v>
      </c>
    </row>
    <row r="37" spans="1:14">
      <c r="A37">
        <v>4</v>
      </c>
      <c r="B37">
        <v>46185</v>
      </c>
      <c r="C37" t="s">
        <v>24</v>
      </c>
      <c r="D37" t="s">
        <v>29</v>
      </c>
      <c r="E37">
        <v>1</v>
      </c>
      <c r="F37">
        <v>46178</v>
      </c>
      <c r="G37" t="s">
        <v>29</v>
      </c>
      <c r="H37" t="s">
        <v>174</v>
      </c>
      <c r="I37">
        <v>4</v>
      </c>
      <c r="J37">
        <v>0</v>
      </c>
      <c r="K37" t="s">
        <v>171</v>
      </c>
      <c r="L37">
        <v>1</v>
      </c>
      <c r="M37" t="s">
        <v>172</v>
      </c>
      <c r="N37">
        <v>1257</v>
      </c>
    </row>
    <row r="38" spans="1:14">
      <c r="A38">
        <v>4</v>
      </c>
      <c r="B38">
        <v>46185</v>
      </c>
      <c r="C38" t="s">
        <v>24</v>
      </c>
      <c r="D38" t="s">
        <v>29</v>
      </c>
      <c r="E38">
        <v>2</v>
      </c>
      <c r="F38">
        <v>46112</v>
      </c>
      <c r="G38" t="s">
        <v>29</v>
      </c>
      <c r="H38" t="s">
        <v>36</v>
      </c>
      <c r="I38">
        <v>1</v>
      </c>
      <c r="J38">
        <v>2</v>
      </c>
      <c r="K38" t="s">
        <v>69</v>
      </c>
      <c r="L38">
        <v>0</v>
      </c>
      <c r="M38" t="s">
        <v>172</v>
      </c>
      <c r="N38">
        <v>1152</v>
      </c>
    </row>
    <row r="39" spans="1:14">
      <c r="A39">
        <v>4</v>
      </c>
      <c r="B39">
        <v>46185</v>
      </c>
      <c r="C39" t="s">
        <v>24</v>
      </c>
      <c r="D39" t="s">
        <v>29</v>
      </c>
      <c r="E39">
        <v>3</v>
      </c>
      <c r="F39">
        <v>46108</v>
      </c>
      <c r="G39" t="s">
        <v>29</v>
      </c>
      <c r="H39" t="s">
        <v>194</v>
      </c>
      <c r="I39">
        <v>1</v>
      </c>
      <c r="J39">
        <v>0</v>
      </c>
      <c r="K39" t="s">
        <v>171</v>
      </c>
      <c r="L39">
        <v>1</v>
      </c>
      <c r="M39" t="s">
        <v>172</v>
      </c>
      <c r="N39">
        <v>1063</v>
      </c>
    </row>
    <row r="40" spans="1:14">
      <c r="A40">
        <v>4</v>
      </c>
      <c r="B40">
        <v>46185</v>
      </c>
      <c r="C40" t="s">
        <v>24</v>
      </c>
      <c r="D40" t="s">
        <v>29</v>
      </c>
      <c r="E40">
        <v>4</v>
      </c>
      <c r="F40">
        <v>45979</v>
      </c>
      <c r="G40" t="s">
        <v>29</v>
      </c>
      <c r="H40" t="s">
        <v>20</v>
      </c>
      <c r="I40">
        <v>2</v>
      </c>
      <c r="J40">
        <v>1</v>
      </c>
      <c r="K40" t="s">
        <v>171</v>
      </c>
      <c r="L40">
        <v>1</v>
      </c>
      <c r="M40" t="s">
        <v>172</v>
      </c>
      <c r="N40">
        <v>903</v>
      </c>
    </row>
    <row r="41" spans="1:14">
      <c r="A41">
        <v>4</v>
      </c>
      <c r="B41">
        <v>46185</v>
      </c>
      <c r="C41" t="s">
        <v>24</v>
      </c>
      <c r="D41" t="s">
        <v>29</v>
      </c>
      <c r="E41">
        <v>5</v>
      </c>
      <c r="F41">
        <v>45976</v>
      </c>
      <c r="G41" t="s">
        <v>29</v>
      </c>
      <c r="H41" t="s">
        <v>193</v>
      </c>
      <c r="I41">
        <v>1</v>
      </c>
      <c r="J41">
        <v>2</v>
      </c>
      <c r="K41" t="s">
        <v>69</v>
      </c>
      <c r="L41">
        <v>0</v>
      </c>
      <c r="M41" t="s">
        <v>172</v>
      </c>
      <c r="N41">
        <v>831</v>
      </c>
    </row>
    <row r="42" spans="1:14">
      <c r="A42">
        <v>5</v>
      </c>
      <c r="B42">
        <v>46186</v>
      </c>
      <c r="C42" t="s">
        <v>19</v>
      </c>
      <c r="D42" t="s">
        <v>31</v>
      </c>
      <c r="E42">
        <v>1</v>
      </c>
      <c r="F42">
        <v>46178</v>
      </c>
      <c r="G42" t="s">
        <v>31</v>
      </c>
      <c r="H42" t="s">
        <v>195</v>
      </c>
      <c r="I42">
        <v>1</v>
      </c>
      <c r="J42">
        <v>2</v>
      </c>
      <c r="K42" t="s">
        <v>69</v>
      </c>
      <c r="L42">
        <v>0</v>
      </c>
      <c r="M42" t="s">
        <v>172</v>
      </c>
      <c r="N42">
        <v>1252</v>
      </c>
    </row>
    <row r="43" spans="1:14">
      <c r="A43">
        <v>5</v>
      </c>
      <c r="B43">
        <v>46186</v>
      </c>
      <c r="C43" t="s">
        <v>19</v>
      </c>
      <c r="D43" t="s">
        <v>31</v>
      </c>
      <c r="E43">
        <v>2</v>
      </c>
      <c r="F43">
        <v>46175</v>
      </c>
      <c r="G43" t="s">
        <v>31</v>
      </c>
      <c r="H43" t="s">
        <v>56</v>
      </c>
      <c r="I43">
        <v>4</v>
      </c>
      <c r="J43">
        <v>0</v>
      </c>
      <c r="K43" t="s">
        <v>171</v>
      </c>
      <c r="L43">
        <v>1</v>
      </c>
      <c r="M43" t="s">
        <v>172</v>
      </c>
      <c r="N43">
        <v>1217</v>
      </c>
    </row>
    <row r="44" spans="1:14">
      <c r="A44">
        <v>5</v>
      </c>
      <c r="B44">
        <v>46186</v>
      </c>
      <c r="C44" t="s">
        <v>19</v>
      </c>
      <c r="D44" t="s">
        <v>31</v>
      </c>
      <c r="E44">
        <v>3</v>
      </c>
      <c r="F44">
        <v>46112</v>
      </c>
      <c r="G44" t="s">
        <v>31</v>
      </c>
      <c r="H44" t="s">
        <v>188</v>
      </c>
      <c r="I44">
        <v>1</v>
      </c>
      <c r="J44">
        <v>1</v>
      </c>
      <c r="K44" t="s">
        <v>27</v>
      </c>
      <c r="L44">
        <v>0</v>
      </c>
      <c r="M44" t="s">
        <v>172</v>
      </c>
      <c r="N44">
        <v>1144</v>
      </c>
    </row>
    <row r="45" spans="1:14">
      <c r="A45">
        <v>5</v>
      </c>
      <c r="B45">
        <v>46186</v>
      </c>
      <c r="C45" t="s">
        <v>19</v>
      </c>
      <c r="D45" t="s">
        <v>31</v>
      </c>
      <c r="E45">
        <v>4</v>
      </c>
      <c r="F45">
        <v>46109</v>
      </c>
      <c r="G45" t="s">
        <v>31</v>
      </c>
      <c r="H45" t="s">
        <v>48</v>
      </c>
      <c r="I45">
        <v>0</v>
      </c>
      <c r="J45">
        <v>1</v>
      </c>
      <c r="K45" t="s">
        <v>69</v>
      </c>
      <c r="L45">
        <v>0</v>
      </c>
      <c r="M45" t="s">
        <v>172</v>
      </c>
      <c r="N45">
        <v>1095</v>
      </c>
    </row>
    <row r="46" spans="1:14">
      <c r="A46">
        <v>5</v>
      </c>
      <c r="B46">
        <v>46186</v>
      </c>
      <c r="C46" t="s">
        <v>19</v>
      </c>
      <c r="D46" t="s">
        <v>31</v>
      </c>
      <c r="E46">
        <v>5</v>
      </c>
      <c r="F46">
        <v>45979</v>
      </c>
      <c r="G46" t="s">
        <v>31</v>
      </c>
      <c r="H46" t="s">
        <v>174</v>
      </c>
      <c r="I46">
        <v>2</v>
      </c>
      <c r="J46">
        <v>0</v>
      </c>
      <c r="K46" t="s">
        <v>171</v>
      </c>
      <c r="L46">
        <v>1</v>
      </c>
      <c r="M46" t="s">
        <v>185</v>
      </c>
      <c r="N46">
        <v>925</v>
      </c>
    </row>
    <row r="47" spans="1:14">
      <c r="A47">
        <v>5</v>
      </c>
      <c r="B47">
        <v>46186</v>
      </c>
      <c r="C47" t="s">
        <v>24</v>
      </c>
      <c r="D47" t="s">
        <v>32</v>
      </c>
      <c r="E47">
        <v>1</v>
      </c>
      <c r="F47">
        <v>46179</v>
      </c>
      <c r="G47" t="s">
        <v>32</v>
      </c>
      <c r="H47" t="s">
        <v>196</v>
      </c>
      <c r="I47">
        <v>4</v>
      </c>
      <c r="J47">
        <v>0</v>
      </c>
      <c r="K47" t="s">
        <v>171</v>
      </c>
      <c r="L47">
        <v>1</v>
      </c>
      <c r="M47" t="s">
        <v>172</v>
      </c>
      <c r="N47">
        <v>1277</v>
      </c>
    </row>
    <row r="48" spans="1:14">
      <c r="A48">
        <v>5</v>
      </c>
      <c r="B48">
        <v>46186</v>
      </c>
      <c r="C48" t="s">
        <v>24</v>
      </c>
      <c r="D48" t="s">
        <v>32</v>
      </c>
      <c r="E48">
        <v>2</v>
      </c>
      <c r="F48">
        <v>46172</v>
      </c>
      <c r="G48" t="s">
        <v>32</v>
      </c>
      <c r="H48" t="s">
        <v>43</v>
      </c>
      <c r="I48">
        <v>4</v>
      </c>
      <c r="J48">
        <v>1</v>
      </c>
      <c r="K48" t="s">
        <v>171</v>
      </c>
      <c r="L48">
        <v>1</v>
      </c>
      <c r="M48" t="s">
        <v>172</v>
      </c>
      <c r="N48">
        <v>1195</v>
      </c>
    </row>
    <row r="49" spans="1:14">
      <c r="A49">
        <v>5</v>
      </c>
      <c r="B49">
        <v>46186</v>
      </c>
      <c r="C49" t="s">
        <v>24</v>
      </c>
      <c r="D49" t="s">
        <v>32</v>
      </c>
      <c r="E49">
        <v>3</v>
      </c>
      <c r="F49">
        <v>46112</v>
      </c>
      <c r="G49" t="s">
        <v>32</v>
      </c>
      <c r="H49" t="s">
        <v>180</v>
      </c>
      <c r="I49">
        <v>0</v>
      </c>
      <c r="J49">
        <v>1</v>
      </c>
      <c r="K49" t="s">
        <v>69</v>
      </c>
      <c r="L49">
        <v>0</v>
      </c>
      <c r="M49" t="s">
        <v>172</v>
      </c>
      <c r="N49">
        <v>1146</v>
      </c>
    </row>
    <row r="50" spans="1:14">
      <c r="A50">
        <v>5</v>
      </c>
      <c r="B50">
        <v>46186</v>
      </c>
      <c r="C50" t="s">
        <v>24</v>
      </c>
      <c r="D50" t="s">
        <v>32</v>
      </c>
      <c r="E50">
        <v>4</v>
      </c>
      <c r="F50">
        <v>46109</v>
      </c>
      <c r="G50" t="s">
        <v>32</v>
      </c>
      <c r="H50" t="s">
        <v>46</v>
      </c>
      <c r="I50">
        <v>0</v>
      </c>
      <c r="J50">
        <v>1</v>
      </c>
      <c r="K50" t="s">
        <v>69</v>
      </c>
      <c r="L50">
        <v>0</v>
      </c>
      <c r="M50" t="s">
        <v>172</v>
      </c>
      <c r="N50">
        <v>1100</v>
      </c>
    </row>
    <row r="51" spans="1:14">
      <c r="A51">
        <v>5</v>
      </c>
      <c r="B51">
        <v>46186</v>
      </c>
      <c r="C51" t="s">
        <v>24</v>
      </c>
      <c r="D51" t="s">
        <v>32</v>
      </c>
      <c r="E51">
        <v>5</v>
      </c>
      <c r="F51">
        <v>45979</v>
      </c>
      <c r="G51" t="s">
        <v>32</v>
      </c>
      <c r="H51" t="s">
        <v>184</v>
      </c>
      <c r="I51">
        <v>4</v>
      </c>
      <c r="J51">
        <v>2</v>
      </c>
      <c r="K51" t="s">
        <v>171</v>
      </c>
      <c r="L51">
        <v>1</v>
      </c>
      <c r="M51" t="s">
        <v>185</v>
      </c>
      <c r="N51">
        <v>908</v>
      </c>
    </row>
    <row r="52" spans="1:14">
      <c r="A52">
        <v>6</v>
      </c>
      <c r="B52">
        <v>46186</v>
      </c>
      <c r="C52" t="s">
        <v>19</v>
      </c>
      <c r="D52" t="s">
        <v>33</v>
      </c>
      <c r="E52">
        <v>1</v>
      </c>
      <c r="F52">
        <v>46179</v>
      </c>
      <c r="G52" t="s">
        <v>33</v>
      </c>
      <c r="H52" t="s">
        <v>38</v>
      </c>
      <c r="I52">
        <v>1</v>
      </c>
      <c r="J52">
        <v>1</v>
      </c>
      <c r="K52" t="s">
        <v>27</v>
      </c>
      <c r="L52">
        <v>0</v>
      </c>
      <c r="M52" t="s">
        <v>172</v>
      </c>
      <c r="N52">
        <v>1274</v>
      </c>
    </row>
    <row r="53" spans="1:14">
      <c r="A53">
        <v>6</v>
      </c>
      <c r="B53">
        <v>46186</v>
      </c>
      <c r="C53" t="s">
        <v>19</v>
      </c>
      <c r="D53" t="s">
        <v>33</v>
      </c>
      <c r="E53">
        <v>2</v>
      </c>
      <c r="F53">
        <v>46172</v>
      </c>
      <c r="G53" t="s">
        <v>33</v>
      </c>
      <c r="H53" t="s">
        <v>20</v>
      </c>
      <c r="I53">
        <v>0</v>
      </c>
      <c r="J53">
        <v>1</v>
      </c>
      <c r="K53" t="s">
        <v>69</v>
      </c>
      <c r="L53">
        <v>0</v>
      </c>
      <c r="M53" t="s">
        <v>172</v>
      </c>
      <c r="N53">
        <v>1194</v>
      </c>
    </row>
    <row r="54" spans="1:14">
      <c r="A54">
        <v>6</v>
      </c>
      <c r="B54">
        <v>46186</v>
      </c>
      <c r="C54" t="s">
        <v>19</v>
      </c>
      <c r="D54" t="s">
        <v>33</v>
      </c>
      <c r="E54">
        <v>3</v>
      </c>
      <c r="F54">
        <v>46112</v>
      </c>
      <c r="G54" t="s">
        <v>33</v>
      </c>
      <c r="H54" t="s">
        <v>43</v>
      </c>
      <c r="I54">
        <v>5</v>
      </c>
      <c r="J54">
        <v>1</v>
      </c>
      <c r="K54" t="s">
        <v>171</v>
      </c>
      <c r="L54">
        <v>1</v>
      </c>
      <c r="M54" t="s">
        <v>197</v>
      </c>
      <c r="N54">
        <v>1175</v>
      </c>
    </row>
    <row r="55" spans="1:14">
      <c r="A55">
        <v>6</v>
      </c>
      <c r="B55">
        <v>46186</v>
      </c>
      <c r="C55" t="s">
        <v>19</v>
      </c>
      <c r="D55" t="s">
        <v>33</v>
      </c>
      <c r="E55">
        <v>4</v>
      </c>
      <c r="F55">
        <v>46108</v>
      </c>
      <c r="G55" t="s">
        <v>33</v>
      </c>
      <c r="H55" t="s">
        <v>175</v>
      </c>
      <c r="I55">
        <v>1</v>
      </c>
      <c r="J55">
        <v>0</v>
      </c>
      <c r="K55" t="s">
        <v>171</v>
      </c>
      <c r="L55">
        <v>1</v>
      </c>
      <c r="M55" t="s">
        <v>197</v>
      </c>
      <c r="N55">
        <v>1078</v>
      </c>
    </row>
    <row r="56" spans="1:14">
      <c r="A56">
        <v>6</v>
      </c>
      <c r="B56">
        <v>46186</v>
      </c>
      <c r="C56" t="s">
        <v>19</v>
      </c>
      <c r="D56" t="s">
        <v>33</v>
      </c>
      <c r="E56">
        <v>5</v>
      </c>
      <c r="F56">
        <v>45979</v>
      </c>
      <c r="G56" t="s">
        <v>33</v>
      </c>
      <c r="H56" t="s">
        <v>78</v>
      </c>
      <c r="I56">
        <v>0</v>
      </c>
      <c r="J56">
        <v>3</v>
      </c>
      <c r="K56" t="s">
        <v>69</v>
      </c>
      <c r="L56">
        <v>0</v>
      </c>
      <c r="M56" t="s">
        <v>172</v>
      </c>
      <c r="N56">
        <v>898</v>
      </c>
    </row>
    <row r="57" spans="1:14">
      <c r="A57">
        <v>6</v>
      </c>
      <c r="B57">
        <v>46186</v>
      </c>
      <c r="C57" t="s">
        <v>24</v>
      </c>
      <c r="D57" t="s">
        <v>34</v>
      </c>
      <c r="E57">
        <v>1</v>
      </c>
      <c r="F57">
        <v>46179</v>
      </c>
      <c r="G57" t="s">
        <v>198</v>
      </c>
      <c r="H57" t="s">
        <v>189</v>
      </c>
      <c r="I57">
        <v>2</v>
      </c>
      <c r="J57">
        <v>1</v>
      </c>
      <c r="K57" t="s">
        <v>171</v>
      </c>
      <c r="L57">
        <v>1</v>
      </c>
      <c r="M57" t="s">
        <v>172</v>
      </c>
      <c r="N57">
        <v>1292</v>
      </c>
    </row>
    <row r="58" spans="1:14">
      <c r="A58">
        <v>6</v>
      </c>
      <c r="B58">
        <v>46186</v>
      </c>
      <c r="C58" t="s">
        <v>24</v>
      </c>
      <c r="D58" t="s">
        <v>34</v>
      </c>
      <c r="E58">
        <v>2</v>
      </c>
      <c r="F58">
        <v>46174</v>
      </c>
      <c r="G58" t="s">
        <v>198</v>
      </c>
      <c r="H58" t="s">
        <v>190</v>
      </c>
      <c r="I58">
        <v>4</v>
      </c>
      <c r="J58">
        <v>0</v>
      </c>
      <c r="K58" t="s">
        <v>171</v>
      </c>
      <c r="L58">
        <v>1</v>
      </c>
      <c r="M58" t="s">
        <v>172</v>
      </c>
      <c r="N58">
        <v>1213</v>
      </c>
    </row>
    <row r="59" spans="1:14">
      <c r="A59">
        <v>6</v>
      </c>
      <c r="B59">
        <v>46186</v>
      </c>
      <c r="C59" t="s">
        <v>24</v>
      </c>
      <c r="D59" t="s">
        <v>34</v>
      </c>
      <c r="E59">
        <v>3</v>
      </c>
      <c r="F59">
        <v>46112</v>
      </c>
      <c r="G59" t="s">
        <v>198</v>
      </c>
      <c r="H59" t="s">
        <v>183</v>
      </c>
      <c r="I59">
        <v>1</v>
      </c>
      <c r="J59">
        <v>0</v>
      </c>
      <c r="K59" t="s">
        <v>171</v>
      </c>
      <c r="L59">
        <v>1</v>
      </c>
      <c r="M59" t="s">
        <v>185</v>
      </c>
      <c r="N59">
        <v>1172</v>
      </c>
    </row>
    <row r="60" spans="1:14">
      <c r="A60">
        <v>6</v>
      </c>
      <c r="B60">
        <v>46186</v>
      </c>
      <c r="C60" t="s">
        <v>24</v>
      </c>
      <c r="D60" t="s">
        <v>34</v>
      </c>
      <c r="E60">
        <v>4</v>
      </c>
      <c r="F60">
        <v>46107</v>
      </c>
      <c r="G60" t="s">
        <v>198</v>
      </c>
      <c r="H60" t="s">
        <v>199</v>
      </c>
      <c r="I60">
        <v>1</v>
      </c>
      <c r="J60">
        <v>0</v>
      </c>
      <c r="K60" t="s">
        <v>171</v>
      </c>
      <c r="L60">
        <v>1</v>
      </c>
      <c r="M60" t="s">
        <v>185</v>
      </c>
      <c r="N60">
        <v>1046</v>
      </c>
    </row>
    <row r="61" spans="1:14">
      <c r="A61">
        <v>6</v>
      </c>
      <c r="B61">
        <v>46186</v>
      </c>
      <c r="C61" t="s">
        <v>24</v>
      </c>
      <c r="D61" t="s">
        <v>34</v>
      </c>
      <c r="E61">
        <v>5</v>
      </c>
      <c r="F61">
        <v>45979</v>
      </c>
      <c r="G61" t="s">
        <v>198</v>
      </c>
      <c r="H61" t="s">
        <v>52</v>
      </c>
      <c r="I61">
        <v>2</v>
      </c>
      <c r="J61">
        <v>2</v>
      </c>
      <c r="K61" t="s">
        <v>27</v>
      </c>
      <c r="L61">
        <v>0</v>
      </c>
      <c r="M61" t="s">
        <v>185</v>
      </c>
      <c r="N61">
        <v>910</v>
      </c>
    </row>
    <row r="62" spans="1:14">
      <c r="A62">
        <v>7</v>
      </c>
      <c r="B62">
        <v>46186</v>
      </c>
      <c r="C62" t="s">
        <v>19</v>
      </c>
      <c r="D62" t="s">
        <v>35</v>
      </c>
      <c r="E62">
        <v>1</v>
      </c>
      <c r="F62">
        <v>46179</v>
      </c>
      <c r="G62" t="s">
        <v>35</v>
      </c>
      <c r="H62" t="s">
        <v>58</v>
      </c>
      <c r="I62">
        <v>2</v>
      </c>
      <c r="J62">
        <v>1</v>
      </c>
      <c r="K62" t="s">
        <v>171</v>
      </c>
      <c r="L62">
        <v>1</v>
      </c>
      <c r="M62" t="s">
        <v>172</v>
      </c>
      <c r="N62">
        <v>1278</v>
      </c>
    </row>
    <row r="63" spans="1:14">
      <c r="A63">
        <v>7</v>
      </c>
      <c r="B63">
        <v>46186</v>
      </c>
      <c r="C63" t="s">
        <v>19</v>
      </c>
      <c r="D63" t="s">
        <v>35</v>
      </c>
      <c r="E63">
        <v>2</v>
      </c>
      <c r="F63">
        <v>46173</v>
      </c>
      <c r="G63" t="s">
        <v>35</v>
      </c>
      <c r="H63" t="s">
        <v>71</v>
      </c>
      <c r="I63">
        <v>6</v>
      </c>
      <c r="J63">
        <v>2</v>
      </c>
      <c r="K63" t="s">
        <v>171</v>
      </c>
      <c r="L63">
        <v>1</v>
      </c>
      <c r="M63" t="s">
        <v>172</v>
      </c>
      <c r="N63">
        <v>1198</v>
      </c>
    </row>
    <row r="64" spans="1:14">
      <c r="A64">
        <v>7</v>
      </c>
      <c r="B64">
        <v>46186</v>
      </c>
      <c r="C64" t="s">
        <v>19</v>
      </c>
      <c r="D64" t="s">
        <v>35</v>
      </c>
      <c r="E64">
        <v>3</v>
      </c>
      <c r="F64">
        <v>46112</v>
      </c>
      <c r="G64" t="s">
        <v>35</v>
      </c>
      <c r="H64" t="s">
        <v>73</v>
      </c>
      <c r="I64">
        <v>3</v>
      </c>
      <c r="J64">
        <v>1</v>
      </c>
      <c r="K64" t="s">
        <v>171</v>
      </c>
      <c r="L64">
        <v>1</v>
      </c>
      <c r="M64" t="s">
        <v>172</v>
      </c>
      <c r="N64">
        <v>1138</v>
      </c>
    </row>
    <row r="65" spans="1:14">
      <c r="A65">
        <v>7</v>
      </c>
      <c r="B65">
        <v>46186</v>
      </c>
      <c r="C65" t="s">
        <v>19</v>
      </c>
      <c r="D65" t="s">
        <v>35</v>
      </c>
      <c r="E65">
        <v>4</v>
      </c>
      <c r="F65">
        <v>46107</v>
      </c>
      <c r="G65" t="s">
        <v>35</v>
      </c>
      <c r="H65" t="s">
        <v>60</v>
      </c>
      <c r="I65">
        <v>1</v>
      </c>
      <c r="J65">
        <v>2</v>
      </c>
      <c r="K65" t="s">
        <v>69</v>
      </c>
      <c r="L65">
        <v>0</v>
      </c>
      <c r="M65" t="s">
        <v>172</v>
      </c>
      <c r="N65">
        <v>1033</v>
      </c>
    </row>
    <row r="66" spans="1:14">
      <c r="A66">
        <v>7</v>
      </c>
      <c r="B66">
        <v>46186</v>
      </c>
      <c r="C66" t="s">
        <v>19</v>
      </c>
      <c r="D66" t="s">
        <v>35</v>
      </c>
      <c r="E66">
        <v>5</v>
      </c>
      <c r="F66">
        <v>45979</v>
      </c>
      <c r="G66" t="s">
        <v>35</v>
      </c>
      <c r="H66" t="s">
        <v>48</v>
      </c>
      <c r="I66">
        <v>1</v>
      </c>
      <c r="J66">
        <v>1</v>
      </c>
      <c r="K66" t="s">
        <v>27</v>
      </c>
      <c r="L66">
        <v>0</v>
      </c>
      <c r="M66" t="s">
        <v>172</v>
      </c>
      <c r="N66">
        <v>895</v>
      </c>
    </row>
    <row r="67" spans="1:14">
      <c r="A67">
        <v>7</v>
      </c>
      <c r="B67">
        <v>46186</v>
      </c>
      <c r="C67" t="s">
        <v>24</v>
      </c>
      <c r="D67" t="s">
        <v>36</v>
      </c>
      <c r="E67">
        <v>1</v>
      </c>
      <c r="F67">
        <v>46180</v>
      </c>
      <c r="G67" t="s">
        <v>36</v>
      </c>
      <c r="H67" t="s">
        <v>63</v>
      </c>
      <c r="I67">
        <v>1</v>
      </c>
      <c r="J67">
        <v>1</v>
      </c>
      <c r="K67" t="s">
        <v>27</v>
      </c>
      <c r="L67">
        <v>0</v>
      </c>
      <c r="M67" t="s">
        <v>172</v>
      </c>
      <c r="N67">
        <v>1303</v>
      </c>
    </row>
    <row r="68" spans="1:14">
      <c r="A68">
        <v>7</v>
      </c>
      <c r="B68">
        <v>46186</v>
      </c>
      <c r="C68" t="s">
        <v>24</v>
      </c>
      <c r="D68" t="s">
        <v>36</v>
      </c>
      <c r="E68">
        <v>2</v>
      </c>
      <c r="F68">
        <v>46175</v>
      </c>
      <c r="G68" t="s">
        <v>36</v>
      </c>
      <c r="H68" t="s">
        <v>200</v>
      </c>
      <c r="I68">
        <v>4</v>
      </c>
      <c r="J68">
        <v>0</v>
      </c>
      <c r="K68" t="s">
        <v>171</v>
      </c>
      <c r="L68">
        <v>1</v>
      </c>
      <c r="M68" t="s">
        <v>172</v>
      </c>
      <c r="N68">
        <v>1218</v>
      </c>
    </row>
    <row r="69" spans="1:14">
      <c r="A69">
        <v>7</v>
      </c>
      <c r="B69">
        <v>46186</v>
      </c>
      <c r="C69" t="s">
        <v>24</v>
      </c>
      <c r="D69" t="s">
        <v>36</v>
      </c>
      <c r="E69">
        <v>3</v>
      </c>
      <c r="F69">
        <v>46168</v>
      </c>
      <c r="G69" t="s">
        <v>36</v>
      </c>
      <c r="H69" t="s">
        <v>201</v>
      </c>
      <c r="I69">
        <v>5</v>
      </c>
      <c r="J69">
        <v>0</v>
      </c>
      <c r="K69" t="s">
        <v>171</v>
      </c>
      <c r="L69">
        <v>1</v>
      </c>
      <c r="M69" t="s">
        <v>172</v>
      </c>
      <c r="N69">
        <v>1183</v>
      </c>
    </row>
    <row r="70" spans="1:14">
      <c r="A70">
        <v>7</v>
      </c>
      <c r="B70">
        <v>46186</v>
      </c>
      <c r="C70" t="s">
        <v>24</v>
      </c>
      <c r="D70" t="s">
        <v>36</v>
      </c>
      <c r="E70">
        <v>4</v>
      </c>
      <c r="F70">
        <v>46112</v>
      </c>
      <c r="G70" t="s">
        <v>36</v>
      </c>
      <c r="H70" t="s">
        <v>29</v>
      </c>
      <c r="I70">
        <v>2</v>
      </c>
      <c r="J70">
        <v>1</v>
      </c>
      <c r="K70" t="s">
        <v>171</v>
      </c>
      <c r="L70">
        <v>1</v>
      </c>
      <c r="M70" t="s">
        <v>172</v>
      </c>
      <c r="N70">
        <v>1152</v>
      </c>
    </row>
    <row r="71" spans="1:14">
      <c r="A71">
        <v>7</v>
      </c>
      <c r="B71">
        <v>46186</v>
      </c>
      <c r="C71" t="s">
        <v>24</v>
      </c>
      <c r="D71" t="s">
        <v>36</v>
      </c>
      <c r="E71">
        <v>5</v>
      </c>
      <c r="F71">
        <v>46108</v>
      </c>
      <c r="G71" t="s">
        <v>36</v>
      </c>
      <c r="H71" t="s">
        <v>41</v>
      </c>
      <c r="I71">
        <v>1</v>
      </c>
      <c r="J71">
        <v>1</v>
      </c>
      <c r="K71" t="s">
        <v>27</v>
      </c>
      <c r="L71">
        <v>0</v>
      </c>
      <c r="M71" t="s">
        <v>172</v>
      </c>
      <c r="N71">
        <v>1068</v>
      </c>
    </row>
    <row r="72" spans="1:14">
      <c r="A72">
        <v>8</v>
      </c>
      <c r="B72">
        <v>46186</v>
      </c>
      <c r="C72" t="s">
        <v>19</v>
      </c>
      <c r="D72" t="s">
        <v>37</v>
      </c>
      <c r="E72">
        <v>1</v>
      </c>
      <c r="F72">
        <v>46179</v>
      </c>
      <c r="G72" t="s">
        <v>37</v>
      </c>
      <c r="H72" t="s">
        <v>178</v>
      </c>
      <c r="I72">
        <v>0</v>
      </c>
      <c r="J72">
        <v>0</v>
      </c>
      <c r="K72" t="s">
        <v>27</v>
      </c>
      <c r="L72">
        <v>0</v>
      </c>
      <c r="M72" t="s">
        <v>172</v>
      </c>
      <c r="N72">
        <v>1287</v>
      </c>
    </row>
    <row r="73" spans="1:14">
      <c r="A73">
        <v>8</v>
      </c>
      <c r="B73">
        <v>46186</v>
      </c>
      <c r="C73" t="s">
        <v>19</v>
      </c>
      <c r="D73" t="s">
        <v>37</v>
      </c>
      <c r="E73">
        <v>2</v>
      </c>
      <c r="F73">
        <v>46170</v>
      </c>
      <c r="G73" t="s">
        <v>37</v>
      </c>
      <c r="H73" t="s">
        <v>186</v>
      </c>
      <c r="I73">
        <v>0</v>
      </c>
      <c r="J73">
        <v>1</v>
      </c>
      <c r="K73" t="s">
        <v>69</v>
      </c>
      <c r="L73">
        <v>0</v>
      </c>
      <c r="M73" t="s">
        <v>172</v>
      </c>
      <c r="N73">
        <v>1186</v>
      </c>
    </row>
    <row r="74" spans="1:14">
      <c r="A74">
        <v>8</v>
      </c>
      <c r="B74">
        <v>46186</v>
      </c>
      <c r="C74" t="s">
        <v>19</v>
      </c>
      <c r="D74" t="s">
        <v>37</v>
      </c>
      <c r="E74">
        <v>3</v>
      </c>
      <c r="F74">
        <v>45998</v>
      </c>
      <c r="G74" t="s">
        <v>37</v>
      </c>
      <c r="H74" t="s">
        <v>48</v>
      </c>
      <c r="I74">
        <v>0</v>
      </c>
      <c r="J74">
        <v>3</v>
      </c>
      <c r="K74" t="s">
        <v>69</v>
      </c>
      <c r="L74">
        <v>0</v>
      </c>
      <c r="M74" t="s">
        <v>202</v>
      </c>
      <c r="N74">
        <v>953</v>
      </c>
    </row>
    <row r="75" spans="1:14">
      <c r="A75">
        <v>8</v>
      </c>
      <c r="B75">
        <v>46186</v>
      </c>
      <c r="C75" t="s">
        <v>19</v>
      </c>
      <c r="D75" t="s">
        <v>37</v>
      </c>
      <c r="E75">
        <v>4</v>
      </c>
      <c r="F75">
        <v>45995</v>
      </c>
      <c r="G75" t="s">
        <v>37</v>
      </c>
      <c r="H75" t="s">
        <v>203</v>
      </c>
      <c r="I75">
        <v>1</v>
      </c>
      <c r="J75">
        <v>1</v>
      </c>
      <c r="K75" t="s">
        <v>27</v>
      </c>
      <c r="L75">
        <v>0</v>
      </c>
      <c r="M75" t="s">
        <v>202</v>
      </c>
      <c r="N75">
        <v>946</v>
      </c>
    </row>
    <row r="76" spans="1:14">
      <c r="A76">
        <v>8</v>
      </c>
      <c r="B76">
        <v>46186</v>
      </c>
      <c r="C76" t="s">
        <v>19</v>
      </c>
      <c r="D76" t="s">
        <v>37</v>
      </c>
      <c r="E76">
        <v>5</v>
      </c>
      <c r="F76">
        <v>45992</v>
      </c>
      <c r="G76" t="s">
        <v>37</v>
      </c>
      <c r="H76" t="s">
        <v>204</v>
      </c>
      <c r="I76">
        <v>0</v>
      </c>
      <c r="J76">
        <v>1</v>
      </c>
      <c r="K76" t="s">
        <v>69</v>
      </c>
      <c r="L76">
        <v>0</v>
      </c>
      <c r="M76" t="s">
        <v>202</v>
      </c>
      <c r="N76">
        <v>938</v>
      </c>
    </row>
    <row r="77" spans="1:14">
      <c r="A77">
        <v>8</v>
      </c>
      <c r="B77">
        <v>46186</v>
      </c>
      <c r="C77" t="s">
        <v>24</v>
      </c>
      <c r="D77" t="s">
        <v>38</v>
      </c>
      <c r="E77">
        <v>1</v>
      </c>
      <c r="F77">
        <v>46179</v>
      </c>
      <c r="G77" t="s">
        <v>38</v>
      </c>
      <c r="H77" t="s">
        <v>33</v>
      </c>
      <c r="I77">
        <v>1</v>
      </c>
      <c r="J77">
        <v>1</v>
      </c>
      <c r="K77" t="s">
        <v>27</v>
      </c>
      <c r="L77">
        <v>0</v>
      </c>
      <c r="M77" t="s">
        <v>172</v>
      </c>
      <c r="N77">
        <v>1274</v>
      </c>
    </row>
    <row r="78" spans="1:14">
      <c r="A78">
        <v>8</v>
      </c>
      <c r="B78">
        <v>46186</v>
      </c>
      <c r="C78" t="s">
        <v>24</v>
      </c>
      <c r="D78" t="s">
        <v>38</v>
      </c>
      <c r="E78">
        <v>2</v>
      </c>
      <c r="F78">
        <v>46173</v>
      </c>
      <c r="G78" t="s">
        <v>38</v>
      </c>
      <c r="H78" t="s">
        <v>68</v>
      </c>
      <c r="I78">
        <v>4</v>
      </c>
      <c r="J78">
        <v>1</v>
      </c>
      <c r="K78" t="s">
        <v>171</v>
      </c>
      <c r="L78">
        <v>1</v>
      </c>
      <c r="M78" t="s">
        <v>172</v>
      </c>
      <c r="N78">
        <v>1204</v>
      </c>
    </row>
    <row r="79" spans="1:14">
      <c r="A79">
        <v>8</v>
      </c>
      <c r="B79">
        <v>46186</v>
      </c>
      <c r="C79" t="s">
        <v>24</v>
      </c>
      <c r="D79" t="s">
        <v>38</v>
      </c>
      <c r="E79">
        <v>3</v>
      </c>
      <c r="F79">
        <v>46112</v>
      </c>
      <c r="G79" t="s">
        <v>38</v>
      </c>
      <c r="H79" t="s">
        <v>63</v>
      </c>
      <c r="I79">
        <v>0</v>
      </c>
      <c r="J79">
        <v>0</v>
      </c>
      <c r="K79" t="s">
        <v>27</v>
      </c>
      <c r="L79">
        <v>0</v>
      </c>
      <c r="M79" t="s">
        <v>172</v>
      </c>
      <c r="N79">
        <v>1155</v>
      </c>
    </row>
    <row r="80" spans="1:14">
      <c r="A80">
        <v>8</v>
      </c>
      <c r="B80">
        <v>46186</v>
      </c>
      <c r="C80" t="s">
        <v>24</v>
      </c>
      <c r="D80" t="s">
        <v>38</v>
      </c>
      <c r="E80">
        <v>4</v>
      </c>
      <c r="F80">
        <v>46108</v>
      </c>
      <c r="G80" t="s">
        <v>38</v>
      </c>
      <c r="H80" t="s">
        <v>42</v>
      </c>
      <c r="I80">
        <v>3</v>
      </c>
      <c r="J80">
        <v>4</v>
      </c>
      <c r="K80" t="s">
        <v>69</v>
      </c>
      <c r="L80">
        <v>0</v>
      </c>
      <c r="M80" t="s">
        <v>172</v>
      </c>
      <c r="N80">
        <v>1074</v>
      </c>
    </row>
    <row r="81" spans="1:14">
      <c r="A81">
        <v>8</v>
      </c>
      <c r="B81">
        <v>46186</v>
      </c>
      <c r="C81" t="s">
        <v>24</v>
      </c>
      <c r="D81" t="s">
        <v>38</v>
      </c>
      <c r="E81">
        <v>5</v>
      </c>
      <c r="F81">
        <v>45979</v>
      </c>
      <c r="G81" t="s">
        <v>38</v>
      </c>
      <c r="H81" t="s">
        <v>183</v>
      </c>
      <c r="I81">
        <v>1</v>
      </c>
      <c r="J81">
        <v>1</v>
      </c>
      <c r="K81" t="s">
        <v>27</v>
      </c>
      <c r="L81">
        <v>0</v>
      </c>
      <c r="M81" t="s">
        <v>185</v>
      </c>
      <c r="N81">
        <v>906</v>
      </c>
    </row>
    <row r="82" spans="1:14">
      <c r="A82">
        <v>9</v>
      </c>
      <c r="B82">
        <v>46187</v>
      </c>
      <c r="C82" t="s">
        <v>19</v>
      </c>
      <c r="D82" t="s">
        <v>40</v>
      </c>
      <c r="E82">
        <v>1</v>
      </c>
      <c r="F82">
        <v>46177</v>
      </c>
      <c r="G82" t="s">
        <v>180</v>
      </c>
      <c r="H82" t="s">
        <v>60</v>
      </c>
      <c r="I82">
        <v>2</v>
      </c>
      <c r="J82">
        <v>1</v>
      </c>
      <c r="K82" t="s">
        <v>171</v>
      </c>
      <c r="L82">
        <v>1</v>
      </c>
      <c r="M82" t="s">
        <v>172</v>
      </c>
      <c r="N82">
        <v>1238</v>
      </c>
    </row>
    <row r="83" spans="1:14">
      <c r="A83">
        <v>9</v>
      </c>
      <c r="B83">
        <v>46187</v>
      </c>
      <c r="C83" t="s">
        <v>19</v>
      </c>
      <c r="D83" t="s">
        <v>40</v>
      </c>
      <c r="E83">
        <v>2</v>
      </c>
      <c r="F83">
        <v>46112</v>
      </c>
      <c r="G83" t="s">
        <v>180</v>
      </c>
      <c r="H83" t="s">
        <v>32</v>
      </c>
      <c r="I83">
        <v>1</v>
      </c>
      <c r="J83">
        <v>0</v>
      </c>
      <c r="K83" t="s">
        <v>171</v>
      </c>
      <c r="L83">
        <v>1</v>
      </c>
      <c r="M83" t="s">
        <v>172</v>
      </c>
      <c r="N83">
        <v>1146</v>
      </c>
    </row>
    <row r="84" spans="1:14">
      <c r="A84">
        <v>9</v>
      </c>
      <c r="B84">
        <v>46187</v>
      </c>
      <c r="C84" t="s">
        <v>19</v>
      </c>
      <c r="D84" t="s">
        <v>40</v>
      </c>
      <c r="E84">
        <v>3</v>
      </c>
      <c r="F84">
        <v>46109</v>
      </c>
      <c r="G84" t="s">
        <v>180</v>
      </c>
      <c r="H84" t="s">
        <v>177</v>
      </c>
      <c r="I84">
        <v>4</v>
      </c>
      <c r="J84">
        <v>0</v>
      </c>
      <c r="K84" t="s">
        <v>171</v>
      </c>
      <c r="L84">
        <v>1</v>
      </c>
      <c r="M84" t="s">
        <v>172</v>
      </c>
      <c r="N84">
        <v>1097</v>
      </c>
    </row>
    <row r="85" spans="1:14">
      <c r="A85">
        <v>9</v>
      </c>
      <c r="B85">
        <v>46187</v>
      </c>
      <c r="C85" t="s">
        <v>19</v>
      </c>
      <c r="D85" t="s">
        <v>40</v>
      </c>
      <c r="E85">
        <v>4</v>
      </c>
      <c r="F85">
        <v>46032</v>
      </c>
      <c r="G85" t="s">
        <v>180</v>
      </c>
      <c r="H85" t="s">
        <v>58</v>
      </c>
      <c r="I85">
        <v>2</v>
      </c>
      <c r="J85">
        <v>3</v>
      </c>
      <c r="K85" t="s">
        <v>69</v>
      </c>
      <c r="L85">
        <v>0</v>
      </c>
      <c r="M85" t="s">
        <v>176</v>
      </c>
      <c r="N85">
        <v>1015</v>
      </c>
    </row>
    <row r="86" spans="1:14">
      <c r="A86">
        <v>9</v>
      </c>
      <c r="B86">
        <v>46187</v>
      </c>
      <c r="C86" t="s">
        <v>19</v>
      </c>
      <c r="D86" t="s">
        <v>40</v>
      </c>
      <c r="E86">
        <v>5</v>
      </c>
      <c r="F86">
        <v>46028</v>
      </c>
      <c r="G86" t="s">
        <v>180</v>
      </c>
      <c r="H86" t="s">
        <v>205</v>
      </c>
      <c r="I86">
        <v>3</v>
      </c>
      <c r="J86">
        <v>0</v>
      </c>
      <c r="K86" t="s">
        <v>171</v>
      </c>
      <c r="L86">
        <v>1</v>
      </c>
      <c r="M86" t="s">
        <v>176</v>
      </c>
      <c r="N86">
        <v>1011</v>
      </c>
    </row>
    <row r="87" spans="1:14">
      <c r="A87">
        <v>9</v>
      </c>
      <c r="B87">
        <v>46187</v>
      </c>
      <c r="C87" t="s">
        <v>24</v>
      </c>
      <c r="D87" t="s">
        <v>41</v>
      </c>
      <c r="E87">
        <v>1</v>
      </c>
      <c r="F87">
        <v>46180</v>
      </c>
      <c r="G87" t="s">
        <v>41</v>
      </c>
      <c r="H87" t="s">
        <v>182</v>
      </c>
      <c r="I87">
        <v>3</v>
      </c>
      <c r="J87">
        <v>0</v>
      </c>
      <c r="K87" t="s">
        <v>171</v>
      </c>
      <c r="L87">
        <v>1</v>
      </c>
      <c r="M87" t="s">
        <v>172</v>
      </c>
      <c r="N87">
        <v>1298</v>
      </c>
    </row>
    <row r="88" spans="1:14">
      <c r="A88">
        <v>9</v>
      </c>
      <c r="B88">
        <v>46187</v>
      </c>
      <c r="C88" t="s">
        <v>24</v>
      </c>
      <c r="D88" t="s">
        <v>41</v>
      </c>
      <c r="E88">
        <v>2</v>
      </c>
      <c r="F88">
        <v>46172</v>
      </c>
      <c r="G88" t="s">
        <v>41</v>
      </c>
      <c r="H88" t="s">
        <v>50</v>
      </c>
      <c r="I88">
        <v>2</v>
      </c>
      <c r="J88">
        <v>1</v>
      </c>
      <c r="K88" t="s">
        <v>171</v>
      </c>
      <c r="L88">
        <v>1</v>
      </c>
      <c r="M88" t="s">
        <v>172</v>
      </c>
      <c r="N88">
        <v>1192</v>
      </c>
    </row>
    <row r="89" spans="1:14">
      <c r="A89">
        <v>9</v>
      </c>
      <c r="B89">
        <v>46187</v>
      </c>
      <c r="C89" t="s">
        <v>24</v>
      </c>
      <c r="D89" t="s">
        <v>41</v>
      </c>
      <c r="E89">
        <v>3</v>
      </c>
      <c r="F89">
        <v>46112</v>
      </c>
      <c r="G89" t="s">
        <v>41</v>
      </c>
      <c r="H89" t="s">
        <v>45</v>
      </c>
      <c r="I89">
        <v>1</v>
      </c>
      <c r="J89">
        <v>1</v>
      </c>
      <c r="K89" t="s">
        <v>27</v>
      </c>
      <c r="L89">
        <v>0</v>
      </c>
      <c r="M89" t="s">
        <v>172</v>
      </c>
      <c r="N89">
        <v>1153</v>
      </c>
    </row>
    <row r="90" spans="1:14">
      <c r="A90">
        <v>9</v>
      </c>
      <c r="B90">
        <v>46187</v>
      </c>
      <c r="C90" t="s">
        <v>24</v>
      </c>
      <c r="D90" t="s">
        <v>41</v>
      </c>
      <c r="E90">
        <v>4</v>
      </c>
      <c r="F90">
        <v>46108</v>
      </c>
      <c r="G90" t="s">
        <v>41</v>
      </c>
      <c r="H90" t="s">
        <v>36</v>
      </c>
      <c r="I90">
        <v>1</v>
      </c>
      <c r="J90">
        <v>1</v>
      </c>
      <c r="K90" t="s">
        <v>27</v>
      </c>
      <c r="L90">
        <v>0</v>
      </c>
      <c r="M90" t="s">
        <v>172</v>
      </c>
      <c r="N90">
        <v>1068</v>
      </c>
    </row>
    <row r="91" spans="1:14">
      <c r="A91">
        <v>9</v>
      </c>
      <c r="B91">
        <v>46187</v>
      </c>
      <c r="C91" t="s">
        <v>24</v>
      </c>
      <c r="D91" t="s">
        <v>41</v>
      </c>
      <c r="E91">
        <v>5</v>
      </c>
      <c r="F91">
        <v>45979</v>
      </c>
      <c r="G91" t="s">
        <v>41</v>
      </c>
      <c r="H91" t="s">
        <v>56</v>
      </c>
      <c r="I91">
        <v>2</v>
      </c>
      <c r="J91">
        <v>0</v>
      </c>
      <c r="K91" t="s">
        <v>171</v>
      </c>
      <c r="L91">
        <v>1</v>
      </c>
      <c r="M91" t="s">
        <v>172</v>
      </c>
      <c r="N91">
        <v>900</v>
      </c>
    </row>
    <row r="92" spans="1:14">
      <c r="A92">
        <v>10</v>
      </c>
      <c r="B92">
        <v>46187</v>
      </c>
      <c r="C92" t="s">
        <v>19</v>
      </c>
      <c r="D92" t="s">
        <v>42</v>
      </c>
      <c r="E92">
        <v>1</v>
      </c>
      <c r="F92">
        <v>46179</v>
      </c>
      <c r="G92" t="s">
        <v>42</v>
      </c>
      <c r="H92" t="s">
        <v>193</v>
      </c>
      <c r="I92">
        <v>2</v>
      </c>
      <c r="J92">
        <v>1</v>
      </c>
      <c r="K92" t="s">
        <v>171</v>
      </c>
      <c r="L92">
        <v>1</v>
      </c>
      <c r="M92" t="s">
        <v>172</v>
      </c>
      <c r="N92">
        <v>1289</v>
      </c>
    </row>
    <row r="93" spans="1:14">
      <c r="A93">
        <v>10</v>
      </c>
      <c r="B93">
        <v>46187</v>
      </c>
      <c r="C93" t="s">
        <v>19</v>
      </c>
      <c r="D93" t="s">
        <v>42</v>
      </c>
      <c r="E93">
        <v>2</v>
      </c>
      <c r="F93">
        <v>46173</v>
      </c>
      <c r="G93" t="s">
        <v>42</v>
      </c>
      <c r="H93" t="s">
        <v>206</v>
      </c>
      <c r="I93">
        <v>4</v>
      </c>
      <c r="J93">
        <v>0</v>
      </c>
      <c r="K93" t="s">
        <v>171</v>
      </c>
      <c r="L93">
        <v>1</v>
      </c>
      <c r="M93" t="s">
        <v>172</v>
      </c>
      <c r="N93">
        <v>1201</v>
      </c>
    </row>
    <row r="94" spans="1:14">
      <c r="A94">
        <v>10</v>
      </c>
      <c r="B94">
        <v>46187</v>
      </c>
      <c r="C94" t="s">
        <v>19</v>
      </c>
      <c r="D94" t="s">
        <v>42</v>
      </c>
      <c r="E94">
        <v>3</v>
      </c>
      <c r="F94">
        <v>46111</v>
      </c>
      <c r="G94" t="s">
        <v>42</v>
      </c>
      <c r="H94" t="s">
        <v>70</v>
      </c>
      <c r="I94">
        <v>2</v>
      </c>
      <c r="J94">
        <v>1</v>
      </c>
      <c r="K94" t="s">
        <v>171</v>
      </c>
      <c r="L94">
        <v>1</v>
      </c>
      <c r="M94" t="s">
        <v>172</v>
      </c>
      <c r="N94">
        <v>1122</v>
      </c>
    </row>
    <row r="95" spans="1:14">
      <c r="A95">
        <v>10</v>
      </c>
      <c r="B95">
        <v>46187</v>
      </c>
      <c r="C95" t="s">
        <v>19</v>
      </c>
      <c r="D95" t="s">
        <v>42</v>
      </c>
      <c r="E95">
        <v>4</v>
      </c>
      <c r="F95">
        <v>46108</v>
      </c>
      <c r="G95" t="s">
        <v>42</v>
      </c>
      <c r="H95" t="s">
        <v>38</v>
      </c>
      <c r="I95">
        <v>4</v>
      </c>
      <c r="J95">
        <v>3</v>
      </c>
      <c r="K95" t="s">
        <v>171</v>
      </c>
      <c r="L95">
        <v>1</v>
      </c>
      <c r="M95" t="s">
        <v>172</v>
      </c>
      <c r="N95">
        <v>1074</v>
      </c>
    </row>
    <row r="96" spans="1:14">
      <c r="A96">
        <v>10</v>
      </c>
      <c r="B96">
        <v>46187</v>
      </c>
      <c r="C96" t="s">
        <v>19</v>
      </c>
      <c r="D96" t="s">
        <v>42</v>
      </c>
      <c r="E96">
        <v>5</v>
      </c>
      <c r="F96">
        <v>45978</v>
      </c>
      <c r="G96" t="s">
        <v>42</v>
      </c>
      <c r="H96" t="s">
        <v>207</v>
      </c>
      <c r="I96">
        <v>6</v>
      </c>
      <c r="J96">
        <v>0</v>
      </c>
      <c r="K96" t="s">
        <v>171</v>
      </c>
      <c r="L96">
        <v>1</v>
      </c>
      <c r="M96" t="s">
        <v>185</v>
      </c>
      <c r="N96">
        <v>867</v>
      </c>
    </row>
    <row r="97" spans="1:14">
      <c r="A97">
        <v>10</v>
      </c>
      <c r="B97">
        <v>46187</v>
      </c>
      <c r="C97" t="s">
        <v>24</v>
      </c>
      <c r="D97" t="s">
        <v>43</v>
      </c>
      <c r="E97">
        <v>1</v>
      </c>
      <c r="F97">
        <v>46179</v>
      </c>
      <c r="G97" t="s">
        <v>43</v>
      </c>
      <c r="H97" t="s">
        <v>208</v>
      </c>
      <c r="I97">
        <v>4</v>
      </c>
      <c r="J97">
        <v>0</v>
      </c>
      <c r="K97" t="s">
        <v>171</v>
      </c>
      <c r="L97">
        <v>1</v>
      </c>
      <c r="M97" t="s">
        <v>172</v>
      </c>
      <c r="N97">
        <v>1279</v>
      </c>
    </row>
    <row r="98" spans="1:14">
      <c r="A98">
        <v>10</v>
      </c>
      <c r="B98">
        <v>46187</v>
      </c>
      <c r="C98" t="s">
        <v>24</v>
      </c>
      <c r="D98" t="s">
        <v>43</v>
      </c>
      <c r="E98">
        <v>2</v>
      </c>
      <c r="F98">
        <v>46172</v>
      </c>
      <c r="G98" t="s">
        <v>43</v>
      </c>
      <c r="H98" t="s">
        <v>32</v>
      </c>
      <c r="I98">
        <v>1</v>
      </c>
      <c r="J98">
        <v>4</v>
      </c>
      <c r="K98" t="s">
        <v>69</v>
      </c>
      <c r="L98">
        <v>0</v>
      </c>
      <c r="M98" t="s">
        <v>172</v>
      </c>
      <c r="N98">
        <v>1195</v>
      </c>
    </row>
    <row r="99" spans="1:14">
      <c r="A99">
        <v>10</v>
      </c>
      <c r="B99">
        <v>46187</v>
      </c>
      <c r="C99" t="s">
        <v>24</v>
      </c>
      <c r="D99" t="s">
        <v>43</v>
      </c>
      <c r="E99">
        <v>3</v>
      </c>
      <c r="F99">
        <v>46112</v>
      </c>
      <c r="G99" t="s">
        <v>43</v>
      </c>
      <c r="H99" t="s">
        <v>33</v>
      </c>
      <c r="I99">
        <v>1</v>
      </c>
      <c r="J99">
        <v>5</v>
      </c>
      <c r="K99" t="s">
        <v>69</v>
      </c>
      <c r="L99">
        <v>0</v>
      </c>
      <c r="M99" t="s">
        <v>197</v>
      </c>
      <c r="N99">
        <v>1175</v>
      </c>
    </row>
    <row r="100" spans="1:14">
      <c r="A100">
        <v>10</v>
      </c>
      <c r="B100">
        <v>46187</v>
      </c>
      <c r="C100" t="s">
        <v>24</v>
      </c>
      <c r="D100" t="s">
        <v>43</v>
      </c>
      <c r="E100">
        <v>4</v>
      </c>
      <c r="F100">
        <v>46108</v>
      </c>
      <c r="G100" t="s">
        <v>43</v>
      </c>
      <c r="H100" t="s">
        <v>209</v>
      </c>
      <c r="I100">
        <v>0</v>
      </c>
      <c r="J100">
        <v>2</v>
      </c>
      <c r="K100" t="s">
        <v>69</v>
      </c>
      <c r="L100">
        <v>0</v>
      </c>
      <c r="M100" t="s">
        <v>197</v>
      </c>
      <c r="N100">
        <v>1077</v>
      </c>
    </row>
    <row r="101" spans="1:14">
      <c r="A101">
        <v>10</v>
      </c>
      <c r="B101">
        <v>46187</v>
      </c>
      <c r="C101" t="s">
        <v>24</v>
      </c>
      <c r="D101" t="s">
        <v>43</v>
      </c>
      <c r="E101">
        <v>5</v>
      </c>
      <c r="F101">
        <v>45979</v>
      </c>
      <c r="G101" t="s">
        <v>43</v>
      </c>
      <c r="H101" t="s">
        <v>173</v>
      </c>
      <c r="I101">
        <v>0</v>
      </c>
      <c r="J101">
        <v>0</v>
      </c>
      <c r="K101" t="s">
        <v>27</v>
      </c>
      <c r="L101">
        <v>0</v>
      </c>
      <c r="M101" t="s">
        <v>185</v>
      </c>
      <c r="N101">
        <v>922</v>
      </c>
    </row>
    <row r="102" spans="1:14">
      <c r="A102">
        <v>11</v>
      </c>
      <c r="B102">
        <v>46187</v>
      </c>
      <c r="C102" t="s">
        <v>19</v>
      </c>
      <c r="D102" t="s">
        <v>45</v>
      </c>
      <c r="E102">
        <v>1</v>
      </c>
      <c r="F102">
        <v>46181</v>
      </c>
      <c r="G102" t="s">
        <v>45</v>
      </c>
      <c r="H102" t="s">
        <v>77</v>
      </c>
      <c r="I102">
        <v>2</v>
      </c>
      <c r="J102">
        <v>1</v>
      </c>
      <c r="K102" t="s">
        <v>171</v>
      </c>
      <c r="L102">
        <v>1</v>
      </c>
      <c r="M102" t="s">
        <v>172</v>
      </c>
      <c r="N102">
        <v>1306</v>
      </c>
    </row>
    <row r="103" spans="1:14">
      <c r="A103">
        <v>11</v>
      </c>
      <c r="B103">
        <v>46187</v>
      </c>
      <c r="C103" t="s">
        <v>19</v>
      </c>
      <c r="D103" t="s">
        <v>45</v>
      </c>
      <c r="E103">
        <v>2</v>
      </c>
      <c r="F103">
        <v>46176</v>
      </c>
      <c r="G103" t="s">
        <v>45</v>
      </c>
      <c r="H103" t="s">
        <v>66</v>
      </c>
      <c r="I103">
        <v>0</v>
      </c>
      <c r="J103">
        <v>1</v>
      </c>
      <c r="K103" t="s">
        <v>69</v>
      </c>
      <c r="L103">
        <v>0</v>
      </c>
      <c r="M103" t="s">
        <v>172</v>
      </c>
      <c r="N103">
        <v>1229</v>
      </c>
    </row>
    <row r="104" spans="1:14">
      <c r="A104">
        <v>11</v>
      </c>
      <c r="B104">
        <v>46187</v>
      </c>
      <c r="C104" t="s">
        <v>19</v>
      </c>
      <c r="D104" t="s">
        <v>45</v>
      </c>
      <c r="E104">
        <v>3</v>
      </c>
      <c r="F104">
        <v>46112</v>
      </c>
      <c r="G104" t="s">
        <v>45</v>
      </c>
      <c r="H104" t="s">
        <v>41</v>
      </c>
      <c r="I104">
        <v>1</v>
      </c>
      <c r="J104">
        <v>1</v>
      </c>
      <c r="K104" t="s">
        <v>27</v>
      </c>
      <c r="L104">
        <v>0</v>
      </c>
      <c r="M104" t="s">
        <v>172</v>
      </c>
      <c r="N104">
        <v>1153</v>
      </c>
    </row>
    <row r="105" spans="1:14">
      <c r="A105">
        <v>11</v>
      </c>
      <c r="B105">
        <v>46187</v>
      </c>
      <c r="C105" t="s">
        <v>19</v>
      </c>
      <c r="D105" t="s">
        <v>45</v>
      </c>
      <c r="E105">
        <v>4</v>
      </c>
      <c r="F105">
        <v>46108</v>
      </c>
      <c r="G105" t="s">
        <v>45</v>
      </c>
      <c r="H105" t="s">
        <v>63</v>
      </c>
      <c r="I105">
        <v>2</v>
      </c>
      <c r="J105">
        <v>1</v>
      </c>
      <c r="K105" t="s">
        <v>171</v>
      </c>
      <c r="L105">
        <v>1</v>
      </c>
      <c r="M105" t="s">
        <v>172</v>
      </c>
      <c r="N105">
        <v>1069</v>
      </c>
    </row>
    <row r="106" spans="1:14">
      <c r="A106">
        <v>11</v>
      </c>
      <c r="B106">
        <v>46187</v>
      </c>
      <c r="C106" t="s">
        <v>19</v>
      </c>
      <c r="D106" t="s">
        <v>45</v>
      </c>
      <c r="E106">
        <v>5</v>
      </c>
      <c r="F106">
        <v>45978</v>
      </c>
      <c r="G106" t="s">
        <v>45</v>
      </c>
      <c r="H106" t="s">
        <v>210</v>
      </c>
      <c r="I106">
        <v>4</v>
      </c>
      <c r="J106">
        <v>0</v>
      </c>
      <c r="K106" t="s">
        <v>171</v>
      </c>
      <c r="L106">
        <v>1</v>
      </c>
      <c r="M106" t="s">
        <v>185</v>
      </c>
      <c r="N106">
        <v>869</v>
      </c>
    </row>
    <row r="107" spans="1:14">
      <c r="A107">
        <v>11</v>
      </c>
      <c r="B107">
        <v>46187</v>
      </c>
      <c r="C107" t="s">
        <v>24</v>
      </c>
      <c r="D107" t="s">
        <v>46</v>
      </c>
      <c r="E107">
        <v>1</v>
      </c>
      <c r="F107">
        <v>46173</v>
      </c>
      <c r="G107" t="s">
        <v>46</v>
      </c>
      <c r="H107" t="s">
        <v>188</v>
      </c>
      <c r="I107">
        <v>1</v>
      </c>
      <c r="J107">
        <v>0</v>
      </c>
      <c r="K107" t="s">
        <v>171</v>
      </c>
      <c r="L107">
        <v>1</v>
      </c>
      <c r="M107" t="s">
        <v>172</v>
      </c>
      <c r="N107">
        <v>1206</v>
      </c>
    </row>
    <row r="108" spans="1:14">
      <c r="A108">
        <v>11</v>
      </c>
      <c r="B108">
        <v>46187</v>
      </c>
      <c r="C108" t="s">
        <v>24</v>
      </c>
      <c r="D108" t="s">
        <v>46</v>
      </c>
      <c r="E108">
        <v>2</v>
      </c>
      <c r="F108">
        <v>46112</v>
      </c>
      <c r="G108" t="s">
        <v>46</v>
      </c>
      <c r="H108" t="s">
        <v>72</v>
      </c>
      <c r="I108">
        <v>1</v>
      </c>
      <c r="J108">
        <v>0</v>
      </c>
      <c r="K108" t="s">
        <v>171</v>
      </c>
      <c r="L108">
        <v>1</v>
      </c>
      <c r="M108" t="s">
        <v>172</v>
      </c>
      <c r="N108">
        <v>1142</v>
      </c>
    </row>
    <row r="109" spans="1:14">
      <c r="A109">
        <v>11</v>
      </c>
      <c r="B109">
        <v>46187</v>
      </c>
      <c r="C109" t="s">
        <v>24</v>
      </c>
      <c r="D109" t="s">
        <v>46</v>
      </c>
      <c r="E109">
        <v>3</v>
      </c>
      <c r="F109">
        <v>46109</v>
      </c>
      <c r="G109" t="s">
        <v>46</v>
      </c>
      <c r="H109" t="s">
        <v>32</v>
      </c>
      <c r="I109">
        <v>1</v>
      </c>
      <c r="J109">
        <v>0</v>
      </c>
      <c r="K109" t="s">
        <v>171</v>
      </c>
      <c r="L109">
        <v>1</v>
      </c>
      <c r="M109" t="s">
        <v>172</v>
      </c>
      <c r="N109">
        <v>1100</v>
      </c>
    </row>
    <row r="110" spans="1:14">
      <c r="A110">
        <v>11</v>
      </c>
      <c r="B110">
        <v>46187</v>
      </c>
      <c r="C110" t="s">
        <v>24</v>
      </c>
      <c r="D110" t="s">
        <v>46</v>
      </c>
      <c r="E110">
        <v>4</v>
      </c>
      <c r="F110">
        <v>45979</v>
      </c>
      <c r="G110" t="s">
        <v>46</v>
      </c>
      <c r="H110" t="s">
        <v>196</v>
      </c>
      <c r="I110">
        <v>3</v>
      </c>
      <c r="J110">
        <v>0</v>
      </c>
      <c r="K110" t="s">
        <v>171</v>
      </c>
      <c r="L110">
        <v>1</v>
      </c>
      <c r="M110" t="s">
        <v>211</v>
      </c>
      <c r="N110">
        <v>881</v>
      </c>
    </row>
    <row r="111" spans="1:14">
      <c r="A111">
        <v>11</v>
      </c>
      <c r="B111">
        <v>46187</v>
      </c>
      <c r="C111" t="s">
        <v>24</v>
      </c>
      <c r="D111" t="s">
        <v>46</v>
      </c>
      <c r="E111">
        <v>5</v>
      </c>
      <c r="F111">
        <v>45975</v>
      </c>
      <c r="G111" t="s">
        <v>46</v>
      </c>
      <c r="H111" t="s">
        <v>70</v>
      </c>
      <c r="I111">
        <v>2</v>
      </c>
      <c r="J111">
        <v>0</v>
      </c>
      <c r="K111" t="s">
        <v>171</v>
      </c>
      <c r="L111">
        <v>1</v>
      </c>
      <c r="M111" t="s">
        <v>211</v>
      </c>
      <c r="N111">
        <v>812</v>
      </c>
    </row>
    <row r="112" spans="1:14">
      <c r="A112">
        <v>12</v>
      </c>
      <c r="B112">
        <v>46187</v>
      </c>
      <c r="C112" t="s">
        <v>19</v>
      </c>
      <c r="D112" t="s">
        <v>47</v>
      </c>
      <c r="E112">
        <v>1</v>
      </c>
      <c r="F112">
        <v>46177</v>
      </c>
      <c r="G112" t="s">
        <v>47</v>
      </c>
      <c r="H112" t="s">
        <v>194</v>
      </c>
      <c r="I112">
        <v>2</v>
      </c>
      <c r="J112">
        <v>2</v>
      </c>
      <c r="K112" t="s">
        <v>27</v>
      </c>
      <c r="L112">
        <v>0</v>
      </c>
      <c r="M112" t="s">
        <v>172</v>
      </c>
      <c r="N112">
        <v>1246</v>
      </c>
    </row>
    <row r="113" spans="1:14">
      <c r="A113">
        <v>12</v>
      </c>
      <c r="B113">
        <v>46187</v>
      </c>
      <c r="C113" t="s">
        <v>19</v>
      </c>
      <c r="D113" t="s">
        <v>47</v>
      </c>
      <c r="E113">
        <v>2</v>
      </c>
      <c r="F113">
        <v>46174</v>
      </c>
      <c r="G113" t="s">
        <v>47</v>
      </c>
      <c r="H113" t="s">
        <v>63</v>
      </c>
      <c r="I113">
        <v>1</v>
      </c>
      <c r="J113">
        <v>3</v>
      </c>
      <c r="K113" t="s">
        <v>69</v>
      </c>
      <c r="L113">
        <v>0</v>
      </c>
      <c r="M113" t="s">
        <v>172</v>
      </c>
      <c r="N113">
        <v>1211</v>
      </c>
    </row>
    <row r="114" spans="1:14">
      <c r="A114">
        <v>12</v>
      </c>
      <c r="B114">
        <v>46187</v>
      </c>
      <c r="C114" t="s">
        <v>19</v>
      </c>
      <c r="D114" t="s">
        <v>47</v>
      </c>
      <c r="E114">
        <v>3</v>
      </c>
      <c r="F114">
        <v>46112</v>
      </c>
      <c r="G114" t="s">
        <v>47</v>
      </c>
      <c r="H114" t="s">
        <v>212</v>
      </c>
      <c r="I114">
        <v>3</v>
      </c>
      <c r="J114">
        <v>2</v>
      </c>
      <c r="K114" t="s">
        <v>171</v>
      </c>
      <c r="L114">
        <v>1</v>
      </c>
      <c r="M114" t="s">
        <v>185</v>
      </c>
      <c r="N114">
        <v>1171</v>
      </c>
    </row>
    <row r="115" spans="1:14">
      <c r="A115">
        <v>12</v>
      </c>
      <c r="B115">
        <v>46187</v>
      </c>
      <c r="C115" t="s">
        <v>19</v>
      </c>
      <c r="D115" t="s">
        <v>47</v>
      </c>
      <c r="E115">
        <v>4</v>
      </c>
      <c r="F115">
        <v>46107</v>
      </c>
      <c r="G115" t="s">
        <v>47</v>
      </c>
      <c r="H115" t="s">
        <v>213</v>
      </c>
      <c r="I115">
        <v>3</v>
      </c>
      <c r="J115">
        <v>1</v>
      </c>
      <c r="K115" t="s">
        <v>171</v>
      </c>
      <c r="L115">
        <v>1</v>
      </c>
      <c r="M115" t="s">
        <v>185</v>
      </c>
      <c r="N115">
        <v>1044</v>
      </c>
    </row>
    <row r="116" spans="1:14">
      <c r="A116">
        <v>12</v>
      </c>
      <c r="B116">
        <v>46187</v>
      </c>
      <c r="C116" t="s">
        <v>19</v>
      </c>
      <c r="D116" t="s">
        <v>47</v>
      </c>
      <c r="E116">
        <v>5</v>
      </c>
      <c r="F116">
        <v>45979</v>
      </c>
      <c r="G116" t="s">
        <v>47</v>
      </c>
      <c r="H116" t="s">
        <v>214</v>
      </c>
      <c r="I116">
        <v>1</v>
      </c>
      <c r="J116">
        <v>1</v>
      </c>
      <c r="K116" t="s">
        <v>27</v>
      </c>
      <c r="L116">
        <v>0</v>
      </c>
      <c r="M116" t="s">
        <v>185</v>
      </c>
      <c r="N116">
        <v>907</v>
      </c>
    </row>
    <row r="117" spans="1:14">
      <c r="A117">
        <v>12</v>
      </c>
      <c r="B117">
        <v>46187</v>
      </c>
      <c r="C117" t="s">
        <v>24</v>
      </c>
      <c r="D117" t="s">
        <v>48</v>
      </c>
      <c r="E117">
        <v>1</v>
      </c>
      <c r="F117">
        <v>46179</v>
      </c>
      <c r="G117" t="s">
        <v>48</v>
      </c>
      <c r="H117" t="s">
        <v>57</v>
      </c>
      <c r="I117">
        <v>0</v>
      </c>
      <c r="J117">
        <v>5</v>
      </c>
      <c r="K117" t="s">
        <v>69</v>
      </c>
      <c r="L117">
        <v>0</v>
      </c>
      <c r="M117" t="s">
        <v>172</v>
      </c>
      <c r="N117">
        <v>1275</v>
      </c>
    </row>
    <row r="118" spans="1:14">
      <c r="A118">
        <v>12</v>
      </c>
      <c r="B118">
        <v>46187</v>
      </c>
      <c r="C118" t="s">
        <v>24</v>
      </c>
      <c r="D118" t="s">
        <v>48</v>
      </c>
      <c r="E118">
        <v>2</v>
      </c>
      <c r="F118">
        <v>46174</v>
      </c>
      <c r="G118" t="s">
        <v>48</v>
      </c>
      <c r="H118" t="s">
        <v>67</v>
      </c>
      <c r="I118">
        <v>0</v>
      </c>
      <c r="J118">
        <v>1</v>
      </c>
      <c r="K118" t="s">
        <v>69</v>
      </c>
      <c r="L118">
        <v>0</v>
      </c>
      <c r="M118" t="s">
        <v>172</v>
      </c>
      <c r="N118">
        <v>1207</v>
      </c>
    </row>
    <row r="119" spans="1:14">
      <c r="A119">
        <v>12</v>
      </c>
      <c r="B119">
        <v>46187</v>
      </c>
      <c r="C119" t="s">
        <v>24</v>
      </c>
      <c r="D119" t="s">
        <v>48</v>
      </c>
      <c r="E119">
        <v>3</v>
      </c>
      <c r="F119">
        <v>46112</v>
      </c>
      <c r="G119" t="s">
        <v>48</v>
      </c>
      <c r="H119" t="s">
        <v>25</v>
      </c>
      <c r="I119">
        <v>0</v>
      </c>
      <c r="J119">
        <v>0</v>
      </c>
      <c r="K119" t="s">
        <v>27</v>
      </c>
      <c r="L119">
        <v>0</v>
      </c>
      <c r="M119" t="s">
        <v>172</v>
      </c>
      <c r="N119">
        <v>1140</v>
      </c>
    </row>
    <row r="120" spans="1:14">
      <c r="A120">
        <v>12</v>
      </c>
      <c r="B120">
        <v>46187</v>
      </c>
      <c r="C120" t="s">
        <v>24</v>
      </c>
      <c r="D120" t="s">
        <v>48</v>
      </c>
      <c r="E120">
        <v>4</v>
      </c>
      <c r="F120">
        <v>46109</v>
      </c>
      <c r="G120" t="s">
        <v>48</v>
      </c>
      <c r="H120" t="s">
        <v>31</v>
      </c>
      <c r="I120">
        <v>1</v>
      </c>
      <c r="J120">
        <v>0</v>
      </c>
      <c r="K120" t="s">
        <v>171</v>
      </c>
      <c r="L120">
        <v>1</v>
      </c>
      <c r="M120" t="s">
        <v>172</v>
      </c>
      <c r="N120">
        <v>1095</v>
      </c>
    </row>
    <row r="121" spans="1:14">
      <c r="A121">
        <v>12</v>
      </c>
      <c r="B121">
        <v>46187</v>
      </c>
      <c r="C121" t="s">
        <v>24</v>
      </c>
      <c r="D121" t="s">
        <v>48</v>
      </c>
      <c r="E121">
        <v>5</v>
      </c>
      <c r="F121">
        <v>46025</v>
      </c>
      <c r="G121" t="s">
        <v>48</v>
      </c>
      <c r="H121" t="s">
        <v>215</v>
      </c>
      <c r="I121">
        <v>1</v>
      </c>
      <c r="J121">
        <v>1</v>
      </c>
      <c r="K121" t="s">
        <v>27</v>
      </c>
      <c r="L121">
        <v>0</v>
      </c>
      <c r="M121" t="s">
        <v>176</v>
      </c>
      <c r="N121">
        <v>1005</v>
      </c>
    </row>
    <row r="122" spans="1:14">
      <c r="A122">
        <v>13</v>
      </c>
      <c r="B122">
        <v>46188</v>
      </c>
      <c r="C122" t="s">
        <v>19</v>
      </c>
      <c r="D122" t="s">
        <v>50</v>
      </c>
      <c r="E122">
        <v>1</v>
      </c>
      <c r="F122">
        <v>46182</v>
      </c>
      <c r="G122" t="s">
        <v>50</v>
      </c>
      <c r="H122" t="s">
        <v>61</v>
      </c>
      <c r="I122">
        <v>0</v>
      </c>
      <c r="J122">
        <v>0</v>
      </c>
      <c r="K122" t="s">
        <v>27</v>
      </c>
      <c r="L122">
        <v>0</v>
      </c>
      <c r="M122" t="s">
        <v>172</v>
      </c>
      <c r="N122">
        <v>1322</v>
      </c>
    </row>
    <row r="123" spans="1:14">
      <c r="A123">
        <v>13</v>
      </c>
      <c r="B123">
        <v>46188</v>
      </c>
      <c r="C123" t="s">
        <v>19</v>
      </c>
      <c r="D123" t="s">
        <v>50</v>
      </c>
      <c r="E123">
        <v>2</v>
      </c>
      <c r="F123">
        <v>46178</v>
      </c>
      <c r="G123" t="s">
        <v>50</v>
      </c>
      <c r="H123" t="s">
        <v>216</v>
      </c>
      <c r="I123">
        <v>3</v>
      </c>
      <c r="J123">
        <v>0</v>
      </c>
      <c r="K123" t="s">
        <v>171</v>
      </c>
      <c r="L123">
        <v>1</v>
      </c>
      <c r="M123" t="s">
        <v>172</v>
      </c>
      <c r="N123">
        <v>1266</v>
      </c>
    </row>
    <row r="124" spans="1:14">
      <c r="A124">
        <v>13</v>
      </c>
      <c r="B124">
        <v>46188</v>
      </c>
      <c r="C124" t="s">
        <v>19</v>
      </c>
      <c r="D124" t="s">
        <v>50</v>
      </c>
      <c r="E124">
        <v>3</v>
      </c>
      <c r="F124">
        <v>46172</v>
      </c>
      <c r="G124" t="s">
        <v>50</v>
      </c>
      <c r="H124" t="s">
        <v>41</v>
      </c>
      <c r="I124">
        <v>1</v>
      </c>
      <c r="J124">
        <v>2</v>
      </c>
      <c r="K124" t="s">
        <v>69</v>
      </c>
      <c r="L124">
        <v>0</v>
      </c>
      <c r="M124" t="s">
        <v>172</v>
      </c>
      <c r="N124">
        <v>1192</v>
      </c>
    </row>
    <row r="125" spans="1:14">
      <c r="A125">
        <v>13</v>
      </c>
      <c r="B125">
        <v>46188</v>
      </c>
      <c r="C125" t="s">
        <v>19</v>
      </c>
      <c r="D125" t="s">
        <v>50</v>
      </c>
      <c r="E125">
        <v>4</v>
      </c>
      <c r="F125">
        <v>46112</v>
      </c>
      <c r="G125" t="s">
        <v>50</v>
      </c>
      <c r="H125" t="s">
        <v>170</v>
      </c>
      <c r="I125">
        <v>1</v>
      </c>
      <c r="J125">
        <v>2</v>
      </c>
      <c r="K125" t="s">
        <v>69</v>
      </c>
      <c r="L125">
        <v>0</v>
      </c>
      <c r="M125" t="s">
        <v>172</v>
      </c>
      <c r="N125">
        <v>1161</v>
      </c>
    </row>
    <row r="126" spans="1:14">
      <c r="A126">
        <v>13</v>
      </c>
      <c r="B126">
        <v>46188</v>
      </c>
      <c r="C126" t="s">
        <v>19</v>
      </c>
      <c r="D126" t="s">
        <v>50</v>
      </c>
      <c r="E126">
        <v>5</v>
      </c>
      <c r="F126">
        <v>46108</v>
      </c>
      <c r="G126" t="s">
        <v>50</v>
      </c>
      <c r="H126" t="s">
        <v>58</v>
      </c>
      <c r="I126">
        <v>0</v>
      </c>
      <c r="J126">
        <v>4</v>
      </c>
      <c r="K126" t="s">
        <v>69</v>
      </c>
      <c r="L126">
        <v>0</v>
      </c>
      <c r="M126" t="s">
        <v>172</v>
      </c>
      <c r="N126">
        <v>1070</v>
      </c>
    </row>
    <row r="127" spans="1:14">
      <c r="A127">
        <v>13</v>
      </c>
      <c r="B127">
        <v>46188</v>
      </c>
      <c r="C127" t="s">
        <v>24</v>
      </c>
      <c r="D127" t="s">
        <v>51</v>
      </c>
      <c r="E127">
        <v>1</v>
      </c>
      <c r="F127">
        <v>46112</v>
      </c>
      <c r="G127" t="s">
        <v>51</v>
      </c>
      <c r="H127" t="s">
        <v>66</v>
      </c>
      <c r="I127">
        <v>0</v>
      </c>
      <c r="J127">
        <v>0</v>
      </c>
      <c r="K127" t="s">
        <v>27</v>
      </c>
      <c r="L127">
        <v>0</v>
      </c>
      <c r="M127" t="s">
        <v>172</v>
      </c>
      <c r="N127">
        <v>1134</v>
      </c>
    </row>
    <row r="128" spans="1:14">
      <c r="A128">
        <v>13</v>
      </c>
      <c r="B128">
        <v>46188</v>
      </c>
      <c r="C128" t="s">
        <v>24</v>
      </c>
      <c r="D128" t="s">
        <v>51</v>
      </c>
      <c r="E128">
        <v>2</v>
      </c>
      <c r="F128">
        <v>46108</v>
      </c>
      <c r="G128" t="s">
        <v>51</v>
      </c>
      <c r="H128" t="s">
        <v>72</v>
      </c>
      <c r="I128">
        <v>1</v>
      </c>
      <c r="J128">
        <v>1</v>
      </c>
      <c r="K128" t="s">
        <v>27</v>
      </c>
      <c r="L128">
        <v>0</v>
      </c>
      <c r="M128" t="s">
        <v>172</v>
      </c>
      <c r="N128">
        <v>1062</v>
      </c>
    </row>
    <row r="129" spans="1:14">
      <c r="A129">
        <v>13</v>
      </c>
      <c r="B129">
        <v>46188</v>
      </c>
      <c r="C129" t="s">
        <v>24</v>
      </c>
      <c r="D129" t="s">
        <v>51</v>
      </c>
      <c r="E129">
        <v>3</v>
      </c>
      <c r="F129">
        <v>45979</v>
      </c>
      <c r="G129" t="s">
        <v>51</v>
      </c>
      <c r="H129" t="s">
        <v>193</v>
      </c>
      <c r="I129">
        <v>1</v>
      </c>
      <c r="J129">
        <v>5</v>
      </c>
      <c r="K129" t="s">
        <v>69</v>
      </c>
      <c r="L129">
        <v>0</v>
      </c>
      <c r="M129" t="s">
        <v>172</v>
      </c>
      <c r="N129">
        <v>904</v>
      </c>
    </row>
    <row r="130" spans="1:14">
      <c r="A130">
        <v>13</v>
      </c>
      <c r="B130">
        <v>46188</v>
      </c>
      <c r="C130" t="s">
        <v>24</v>
      </c>
      <c r="D130" t="s">
        <v>51</v>
      </c>
      <c r="E130">
        <v>4</v>
      </c>
      <c r="F130">
        <v>45976</v>
      </c>
      <c r="G130" t="s">
        <v>51</v>
      </c>
      <c r="H130" t="s">
        <v>20</v>
      </c>
      <c r="I130">
        <v>0</v>
      </c>
      <c r="J130">
        <v>0</v>
      </c>
      <c r="K130" t="s">
        <v>27</v>
      </c>
      <c r="L130">
        <v>0</v>
      </c>
      <c r="M130" t="s">
        <v>172</v>
      </c>
      <c r="N130">
        <v>829</v>
      </c>
    </row>
    <row r="131" spans="1:14">
      <c r="A131">
        <v>13</v>
      </c>
      <c r="B131">
        <v>46188</v>
      </c>
      <c r="C131" t="s">
        <v>24</v>
      </c>
      <c r="D131" t="s">
        <v>51</v>
      </c>
      <c r="E131">
        <v>5</v>
      </c>
      <c r="F131">
        <v>45943</v>
      </c>
      <c r="G131" t="s">
        <v>51</v>
      </c>
      <c r="H131" t="s">
        <v>77</v>
      </c>
      <c r="I131">
        <v>2</v>
      </c>
      <c r="J131">
        <v>1</v>
      </c>
      <c r="K131" t="s">
        <v>171</v>
      </c>
      <c r="L131">
        <v>1</v>
      </c>
      <c r="M131" t="s">
        <v>172</v>
      </c>
      <c r="N131">
        <v>701</v>
      </c>
    </row>
    <row r="132" spans="1:14">
      <c r="A132">
        <v>14</v>
      </c>
      <c r="B132">
        <v>46188</v>
      </c>
      <c r="C132" t="s">
        <v>19</v>
      </c>
      <c r="D132" t="s">
        <v>52</v>
      </c>
      <c r="E132">
        <v>1</v>
      </c>
      <c r="F132">
        <v>46181</v>
      </c>
      <c r="G132" t="s">
        <v>52</v>
      </c>
      <c r="H132" t="s">
        <v>195</v>
      </c>
      <c r="I132">
        <v>3</v>
      </c>
      <c r="J132">
        <v>1</v>
      </c>
      <c r="K132" t="s">
        <v>171</v>
      </c>
      <c r="L132">
        <v>1</v>
      </c>
      <c r="M132" t="s">
        <v>172</v>
      </c>
      <c r="N132">
        <v>1307</v>
      </c>
    </row>
    <row r="133" spans="1:14">
      <c r="A133">
        <v>14</v>
      </c>
      <c r="B133">
        <v>46188</v>
      </c>
      <c r="C133" t="s">
        <v>19</v>
      </c>
      <c r="D133" t="s">
        <v>52</v>
      </c>
      <c r="E133">
        <v>2</v>
      </c>
      <c r="F133">
        <v>46177</v>
      </c>
      <c r="G133" t="s">
        <v>52</v>
      </c>
      <c r="H133" t="s">
        <v>62</v>
      </c>
      <c r="I133">
        <v>1</v>
      </c>
      <c r="J133">
        <v>1</v>
      </c>
      <c r="K133" t="s">
        <v>27</v>
      </c>
      <c r="L133">
        <v>0</v>
      </c>
      <c r="M133" t="s">
        <v>172</v>
      </c>
      <c r="N133">
        <v>1245</v>
      </c>
    </row>
    <row r="134" spans="1:14">
      <c r="A134">
        <v>14</v>
      </c>
      <c r="B134">
        <v>46188</v>
      </c>
      <c r="C134" t="s">
        <v>19</v>
      </c>
      <c r="D134" t="s">
        <v>52</v>
      </c>
      <c r="E134">
        <v>3</v>
      </c>
      <c r="F134">
        <v>46112</v>
      </c>
      <c r="G134" t="s">
        <v>52</v>
      </c>
      <c r="H134" t="s">
        <v>58</v>
      </c>
      <c r="I134">
        <v>0</v>
      </c>
      <c r="J134">
        <v>0</v>
      </c>
      <c r="K134" t="s">
        <v>27</v>
      </c>
      <c r="L134">
        <v>0</v>
      </c>
      <c r="M134" t="s">
        <v>172</v>
      </c>
      <c r="N134">
        <v>1164</v>
      </c>
    </row>
    <row r="135" spans="1:14">
      <c r="A135">
        <v>14</v>
      </c>
      <c r="B135">
        <v>46188</v>
      </c>
      <c r="C135" t="s">
        <v>19</v>
      </c>
      <c r="D135" t="s">
        <v>52</v>
      </c>
      <c r="E135">
        <v>4</v>
      </c>
      <c r="F135">
        <v>46108</v>
      </c>
      <c r="G135" t="s">
        <v>52</v>
      </c>
      <c r="H135" t="s">
        <v>170</v>
      </c>
      <c r="I135">
        <v>3</v>
      </c>
      <c r="J135">
        <v>0</v>
      </c>
      <c r="K135" t="s">
        <v>171</v>
      </c>
      <c r="L135">
        <v>1</v>
      </c>
      <c r="M135" t="s">
        <v>172</v>
      </c>
      <c r="N135">
        <v>1072</v>
      </c>
    </row>
    <row r="136" spans="1:14">
      <c r="A136">
        <v>14</v>
      </c>
      <c r="B136">
        <v>46188</v>
      </c>
      <c r="C136" t="s">
        <v>19</v>
      </c>
      <c r="D136" t="s">
        <v>52</v>
      </c>
      <c r="E136">
        <v>5</v>
      </c>
      <c r="F136">
        <v>45979</v>
      </c>
      <c r="G136" t="s">
        <v>52</v>
      </c>
      <c r="H136" t="s">
        <v>198</v>
      </c>
      <c r="I136">
        <v>2</v>
      </c>
      <c r="J136">
        <v>2</v>
      </c>
      <c r="K136" t="s">
        <v>27</v>
      </c>
      <c r="L136">
        <v>0</v>
      </c>
      <c r="M136" t="s">
        <v>185</v>
      </c>
      <c r="N136">
        <v>910</v>
      </c>
    </row>
    <row r="137" spans="1:14">
      <c r="A137">
        <v>14</v>
      </c>
      <c r="B137">
        <v>46188</v>
      </c>
      <c r="C137" t="s">
        <v>24</v>
      </c>
      <c r="D137" t="s">
        <v>53</v>
      </c>
      <c r="E137">
        <v>1</v>
      </c>
      <c r="F137">
        <v>46179</v>
      </c>
      <c r="G137" t="s">
        <v>217</v>
      </c>
      <c r="H137" t="s">
        <v>218</v>
      </c>
      <c r="I137">
        <v>0</v>
      </c>
      <c r="J137">
        <v>3</v>
      </c>
      <c r="K137" t="s">
        <v>69</v>
      </c>
      <c r="L137">
        <v>0</v>
      </c>
      <c r="M137" t="s">
        <v>172</v>
      </c>
      <c r="N137">
        <v>1276</v>
      </c>
    </row>
    <row r="138" spans="1:14">
      <c r="A138">
        <v>14</v>
      </c>
      <c r="B138">
        <v>46188</v>
      </c>
      <c r="C138" t="s">
        <v>24</v>
      </c>
      <c r="D138" t="s">
        <v>53</v>
      </c>
      <c r="E138">
        <v>2</v>
      </c>
      <c r="F138">
        <v>46173</v>
      </c>
      <c r="G138" t="s">
        <v>217</v>
      </c>
      <c r="H138" t="s">
        <v>170</v>
      </c>
      <c r="I138">
        <v>3</v>
      </c>
      <c r="J138">
        <v>0</v>
      </c>
      <c r="K138" t="s">
        <v>171</v>
      </c>
      <c r="L138">
        <v>1</v>
      </c>
      <c r="M138" t="s">
        <v>172</v>
      </c>
      <c r="N138">
        <v>1199</v>
      </c>
    </row>
    <row r="139" spans="1:14">
      <c r="A139">
        <v>14</v>
      </c>
      <c r="B139">
        <v>46188</v>
      </c>
      <c r="C139" t="s">
        <v>24</v>
      </c>
      <c r="D139" t="s">
        <v>53</v>
      </c>
      <c r="E139">
        <v>3</v>
      </c>
      <c r="F139">
        <v>46111</v>
      </c>
      <c r="G139" t="s">
        <v>217</v>
      </c>
      <c r="H139" t="s">
        <v>206</v>
      </c>
      <c r="I139">
        <v>1</v>
      </c>
      <c r="J139">
        <v>1</v>
      </c>
      <c r="K139" t="s">
        <v>27</v>
      </c>
      <c r="L139">
        <v>0</v>
      </c>
      <c r="M139" t="s">
        <v>197</v>
      </c>
      <c r="N139">
        <v>1126</v>
      </c>
    </row>
    <row r="140" spans="1:14">
      <c r="A140">
        <v>14</v>
      </c>
      <c r="B140">
        <v>46188</v>
      </c>
      <c r="C140" t="s">
        <v>24</v>
      </c>
      <c r="D140" t="s">
        <v>53</v>
      </c>
      <c r="E140">
        <v>4</v>
      </c>
      <c r="F140">
        <v>46108</v>
      </c>
      <c r="G140" t="s">
        <v>217</v>
      </c>
      <c r="H140" t="s">
        <v>219</v>
      </c>
      <c r="I140">
        <v>2</v>
      </c>
      <c r="J140">
        <v>4</v>
      </c>
      <c r="K140" t="s">
        <v>69</v>
      </c>
      <c r="L140">
        <v>0</v>
      </c>
      <c r="M140" t="s">
        <v>197</v>
      </c>
      <c r="N140">
        <v>1082</v>
      </c>
    </row>
    <row r="141" spans="1:14">
      <c r="A141">
        <v>14</v>
      </c>
      <c r="B141">
        <v>46188</v>
      </c>
      <c r="C141" t="s">
        <v>24</v>
      </c>
      <c r="D141" t="s">
        <v>53</v>
      </c>
      <c r="E141">
        <v>5</v>
      </c>
      <c r="F141">
        <v>45978</v>
      </c>
      <c r="G141" t="s">
        <v>217</v>
      </c>
      <c r="H141" t="s">
        <v>58</v>
      </c>
      <c r="I141">
        <v>1</v>
      </c>
      <c r="J141">
        <v>1</v>
      </c>
      <c r="K141" t="s">
        <v>27</v>
      </c>
      <c r="L141">
        <v>0</v>
      </c>
      <c r="M141" t="s">
        <v>220</v>
      </c>
      <c r="N141">
        <v>872</v>
      </c>
    </row>
    <row r="142" spans="1:14">
      <c r="A142">
        <v>15</v>
      </c>
      <c r="B142">
        <v>46188</v>
      </c>
      <c r="C142" t="s">
        <v>19</v>
      </c>
      <c r="D142" t="s">
        <v>55</v>
      </c>
      <c r="E142">
        <v>1</v>
      </c>
      <c r="F142">
        <v>46177</v>
      </c>
      <c r="G142" t="s">
        <v>221</v>
      </c>
      <c r="H142" t="s">
        <v>215</v>
      </c>
      <c r="I142">
        <v>2</v>
      </c>
      <c r="J142">
        <v>0</v>
      </c>
      <c r="K142" t="s">
        <v>171</v>
      </c>
      <c r="L142">
        <v>1</v>
      </c>
      <c r="M142" t="s">
        <v>172</v>
      </c>
      <c r="N142">
        <v>1240</v>
      </c>
    </row>
    <row r="143" spans="1:14">
      <c r="A143">
        <v>15</v>
      </c>
      <c r="B143">
        <v>46188</v>
      </c>
      <c r="C143" t="s">
        <v>19</v>
      </c>
      <c r="D143" t="s">
        <v>55</v>
      </c>
      <c r="E143">
        <v>2</v>
      </c>
      <c r="F143">
        <v>46171</v>
      </c>
      <c r="G143" t="s">
        <v>221</v>
      </c>
      <c r="H143" t="s">
        <v>222</v>
      </c>
      <c r="I143">
        <v>3</v>
      </c>
      <c r="J143">
        <v>1</v>
      </c>
      <c r="K143" t="s">
        <v>171</v>
      </c>
      <c r="L143">
        <v>1</v>
      </c>
      <c r="M143" t="s">
        <v>172</v>
      </c>
      <c r="N143">
        <v>1190</v>
      </c>
    </row>
    <row r="144" spans="1:14">
      <c r="A144">
        <v>15</v>
      </c>
      <c r="B144">
        <v>46188</v>
      </c>
      <c r="C144" t="s">
        <v>19</v>
      </c>
      <c r="D144" t="s">
        <v>55</v>
      </c>
      <c r="E144">
        <v>3</v>
      </c>
      <c r="F144">
        <v>46112</v>
      </c>
      <c r="G144" t="s">
        <v>221</v>
      </c>
      <c r="H144" t="s">
        <v>223</v>
      </c>
      <c r="I144">
        <v>5</v>
      </c>
      <c r="J144">
        <v>0</v>
      </c>
      <c r="K144" t="s">
        <v>171</v>
      </c>
      <c r="L144">
        <v>1</v>
      </c>
      <c r="M144" t="s">
        <v>224</v>
      </c>
      <c r="N144">
        <v>1141</v>
      </c>
    </row>
    <row r="145" spans="1:14">
      <c r="A145">
        <v>15</v>
      </c>
      <c r="B145">
        <v>46188</v>
      </c>
      <c r="C145" t="s">
        <v>19</v>
      </c>
      <c r="D145" t="s">
        <v>55</v>
      </c>
      <c r="E145">
        <v>4</v>
      </c>
      <c r="F145">
        <v>46108</v>
      </c>
      <c r="G145" t="s">
        <v>221</v>
      </c>
      <c r="H145" t="s">
        <v>225</v>
      </c>
      <c r="I145">
        <v>1</v>
      </c>
      <c r="J145">
        <v>2</v>
      </c>
      <c r="K145" t="s">
        <v>69</v>
      </c>
      <c r="L145">
        <v>0</v>
      </c>
      <c r="M145" t="s">
        <v>224</v>
      </c>
      <c r="N145">
        <v>1076</v>
      </c>
    </row>
    <row r="146" spans="1:14">
      <c r="A146">
        <v>15</v>
      </c>
      <c r="B146">
        <v>46188</v>
      </c>
      <c r="C146" t="s">
        <v>19</v>
      </c>
      <c r="D146" t="s">
        <v>55</v>
      </c>
      <c r="E146">
        <v>5</v>
      </c>
      <c r="F146">
        <v>45979</v>
      </c>
      <c r="G146" t="s">
        <v>221</v>
      </c>
      <c r="H146" t="s">
        <v>77</v>
      </c>
      <c r="I146">
        <v>0</v>
      </c>
      <c r="J146">
        <v>0</v>
      </c>
      <c r="K146" t="s">
        <v>27</v>
      </c>
      <c r="L146">
        <v>0</v>
      </c>
      <c r="M146" t="s">
        <v>220</v>
      </c>
      <c r="N146">
        <v>919</v>
      </c>
    </row>
    <row r="147" spans="1:14">
      <c r="A147">
        <v>15</v>
      </c>
      <c r="B147">
        <v>46188</v>
      </c>
      <c r="C147" t="s">
        <v>24</v>
      </c>
      <c r="D147" t="s">
        <v>56</v>
      </c>
      <c r="E147">
        <v>1</v>
      </c>
      <c r="F147">
        <v>46179</v>
      </c>
      <c r="G147" t="s">
        <v>56</v>
      </c>
      <c r="H147" t="s">
        <v>72</v>
      </c>
      <c r="I147">
        <v>0</v>
      </c>
      <c r="J147">
        <v>1</v>
      </c>
      <c r="K147" t="s">
        <v>69</v>
      </c>
      <c r="L147">
        <v>0</v>
      </c>
      <c r="M147" t="s">
        <v>172</v>
      </c>
      <c r="N147">
        <v>1280</v>
      </c>
    </row>
    <row r="148" spans="1:14">
      <c r="A148">
        <v>15</v>
      </c>
      <c r="B148">
        <v>46188</v>
      </c>
      <c r="C148" t="s">
        <v>24</v>
      </c>
      <c r="D148" t="s">
        <v>56</v>
      </c>
      <c r="E148">
        <v>2</v>
      </c>
      <c r="F148">
        <v>46175</v>
      </c>
      <c r="G148" t="s">
        <v>56</v>
      </c>
      <c r="H148" t="s">
        <v>31</v>
      </c>
      <c r="I148">
        <v>0</v>
      </c>
      <c r="J148">
        <v>4</v>
      </c>
      <c r="K148" t="s">
        <v>69</v>
      </c>
      <c r="L148">
        <v>0</v>
      </c>
      <c r="M148" t="s">
        <v>172</v>
      </c>
      <c r="N148">
        <v>1217</v>
      </c>
    </row>
    <row r="149" spans="1:14">
      <c r="A149">
        <v>15</v>
      </c>
      <c r="B149">
        <v>46188</v>
      </c>
      <c r="C149" t="s">
        <v>24</v>
      </c>
      <c r="D149" t="s">
        <v>56</v>
      </c>
      <c r="E149">
        <v>3</v>
      </c>
      <c r="F149">
        <v>46111</v>
      </c>
      <c r="G149" t="s">
        <v>56</v>
      </c>
      <c r="H149" t="s">
        <v>219</v>
      </c>
      <c r="I149">
        <v>4</v>
      </c>
      <c r="J149">
        <v>1</v>
      </c>
      <c r="K149" t="s">
        <v>171</v>
      </c>
      <c r="L149">
        <v>1</v>
      </c>
      <c r="M149" t="s">
        <v>197</v>
      </c>
      <c r="N149">
        <v>1127</v>
      </c>
    </row>
    <row r="150" spans="1:14">
      <c r="A150">
        <v>15</v>
      </c>
      <c r="B150">
        <v>46188</v>
      </c>
      <c r="C150" t="s">
        <v>24</v>
      </c>
      <c r="D150" t="s">
        <v>56</v>
      </c>
      <c r="E150">
        <v>4</v>
      </c>
      <c r="F150">
        <v>46108</v>
      </c>
      <c r="G150" t="s">
        <v>56</v>
      </c>
      <c r="H150" t="s">
        <v>206</v>
      </c>
      <c r="I150">
        <v>0</v>
      </c>
      <c r="J150">
        <v>2</v>
      </c>
      <c r="K150" t="s">
        <v>69</v>
      </c>
      <c r="L150">
        <v>0</v>
      </c>
      <c r="M150" t="s">
        <v>197</v>
      </c>
      <c r="N150">
        <v>1083</v>
      </c>
    </row>
    <row r="151" spans="1:14">
      <c r="A151">
        <v>15</v>
      </c>
      <c r="B151">
        <v>46188</v>
      </c>
      <c r="C151" t="s">
        <v>24</v>
      </c>
      <c r="D151" t="s">
        <v>56</v>
      </c>
      <c r="E151">
        <v>5</v>
      </c>
      <c r="F151">
        <v>45979</v>
      </c>
      <c r="G151" t="s">
        <v>56</v>
      </c>
      <c r="H151" t="s">
        <v>41</v>
      </c>
      <c r="I151">
        <v>0</v>
      </c>
      <c r="J151">
        <v>2</v>
      </c>
      <c r="K151" t="s">
        <v>69</v>
      </c>
      <c r="L151">
        <v>0</v>
      </c>
      <c r="M151" t="s">
        <v>172</v>
      </c>
      <c r="N151">
        <v>900</v>
      </c>
    </row>
    <row r="152" spans="1:14">
      <c r="A152">
        <v>16</v>
      </c>
      <c r="B152">
        <v>46188</v>
      </c>
      <c r="C152" t="s">
        <v>19</v>
      </c>
      <c r="D152" t="s">
        <v>57</v>
      </c>
      <c r="E152">
        <v>1</v>
      </c>
      <c r="F152">
        <v>46179</v>
      </c>
      <c r="G152" t="s">
        <v>57</v>
      </c>
      <c r="H152" t="s">
        <v>48</v>
      </c>
      <c r="I152">
        <v>5</v>
      </c>
      <c r="J152">
        <v>0</v>
      </c>
      <c r="K152" t="s">
        <v>171</v>
      </c>
      <c r="L152">
        <v>1</v>
      </c>
      <c r="M152" t="s">
        <v>172</v>
      </c>
      <c r="N152">
        <v>1275</v>
      </c>
    </row>
    <row r="153" spans="1:14">
      <c r="A153">
        <v>16</v>
      </c>
      <c r="B153">
        <v>46188</v>
      </c>
      <c r="C153" t="s">
        <v>19</v>
      </c>
      <c r="D153" t="s">
        <v>57</v>
      </c>
      <c r="E153">
        <v>2</v>
      </c>
      <c r="F153">
        <v>46175</v>
      </c>
      <c r="G153" t="s">
        <v>57</v>
      </c>
      <c r="H153" t="s">
        <v>73</v>
      </c>
      <c r="I153">
        <v>2</v>
      </c>
      <c r="J153">
        <v>0</v>
      </c>
      <c r="K153" t="s">
        <v>171</v>
      </c>
      <c r="L153">
        <v>1</v>
      </c>
      <c r="M153" t="s">
        <v>172</v>
      </c>
      <c r="N153">
        <v>1215</v>
      </c>
    </row>
    <row r="154" spans="1:14">
      <c r="A154">
        <v>16</v>
      </c>
      <c r="B154">
        <v>46188</v>
      </c>
      <c r="C154" t="s">
        <v>19</v>
      </c>
      <c r="D154" t="s">
        <v>57</v>
      </c>
      <c r="E154">
        <v>3</v>
      </c>
      <c r="F154">
        <v>46112</v>
      </c>
      <c r="G154" t="s">
        <v>57</v>
      </c>
      <c r="H154" t="s">
        <v>20</v>
      </c>
      <c r="I154">
        <v>1</v>
      </c>
      <c r="J154">
        <v>1</v>
      </c>
      <c r="K154" t="s">
        <v>27</v>
      </c>
      <c r="L154">
        <v>0</v>
      </c>
      <c r="M154" t="s">
        <v>172</v>
      </c>
      <c r="N154">
        <v>1150</v>
      </c>
    </row>
    <row r="155" spans="1:14">
      <c r="A155">
        <v>16</v>
      </c>
      <c r="B155">
        <v>46188</v>
      </c>
      <c r="C155" t="s">
        <v>19</v>
      </c>
      <c r="D155" t="s">
        <v>57</v>
      </c>
      <c r="E155">
        <v>4</v>
      </c>
      <c r="F155">
        <v>46109</v>
      </c>
      <c r="G155" t="s">
        <v>57</v>
      </c>
      <c r="H155" t="s">
        <v>193</v>
      </c>
      <c r="I155">
        <v>5</v>
      </c>
      <c r="J155">
        <v>2</v>
      </c>
      <c r="K155" t="s">
        <v>171</v>
      </c>
      <c r="L155">
        <v>1</v>
      </c>
      <c r="M155" t="s">
        <v>172</v>
      </c>
      <c r="N155">
        <v>1102</v>
      </c>
    </row>
    <row r="156" spans="1:14">
      <c r="A156">
        <v>16</v>
      </c>
      <c r="B156">
        <v>46188</v>
      </c>
      <c r="C156" t="s">
        <v>19</v>
      </c>
      <c r="D156" t="s">
        <v>57</v>
      </c>
      <c r="E156">
        <v>5</v>
      </c>
      <c r="F156">
        <v>45979</v>
      </c>
      <c r="G156" t="s">
        <v>57</v>
      </c>
      <c r="H156" t="s">
        <v>226</v>
      </c>
      <c r="I156">
        <v>7</v>
      </c>
      <c r="J156">
        <v>0</v>
      </c>
      <c r="K156" t="s">
        <v>171</v>
      </c>
      <c r="L156">
        <v>1</v>
      </c>
      <c r="M156" t="s">
        <v>185</v>
      </c>
      <c r="N156">
        <v>915</v>
      </c>
    </row>
    <row r="157" spans="1:14">
      <c r="A157">
        <v>16</v>
      </c>
      <c r="B157">
        <v>46188</v>
      </c>
      <c r="C157" t="s">
        <v>24</v>
      </c>
      <c r="D157" t="s">
        <v>58</v>
      </c>
      <c r="E157">
        <v>1</v>
      </c>
      <c r="F157">
        <v>46179</v>
      </c>
      <c r="G157" t="s">
        <v>58</v>
      </c>
      <c r="H157" t="s">
        <v>35</v>
      </c>
      <c r="I157">
        <v>1</v>
      </c>
      <c r="J157">
        <v>2</v>
      </c>
      <c r="K157" t="s">
        <v>69</v>
      </c>
      <c r="L157">
        <v>0</v>
      </c>
      <c r="M157" t="s">
        <v>172</v>
      </c>
      <c r="N157">
        <v>1278</v>
      </c>
    </row>
    <row r="158" spans="1:14">
      <c r="A158">
        <v>16</v>
      </c>
      <c r="B158">
        <v>46188</v>
      </c>
      <c r="C158" t="s">
        <v>24</v>
      </c>
      <c r="D158" t="s">
        <v>58</v>
      </c>
      <c r="E158">
        <v>2</v>
      </c>
      <c r="F158">
        <v>46170</v>
      </c>
      <c r="G158" t="s">
        <v>58</v>
      </c>
      <c r="H158" t="s">
        <v>227</v>
      </c>
      <c r="I158">
        <v>1</v>
      </c>
      <c r="J158">
        <v>0</v>
      </c>
      <c r="K158" t="s">
        <v>171</v>
      </c>
      <c r="L158">
        <v>1</v>
      </c>
      <c r="M158" t="s">
        <v>172</v>
      </c>
      <c r="N158">
        <v>1187</v>
      </c>
    </row>
    <row r="159" spans="1:14">
      <c r="A159">
        <v>16</v>
      </c>
      <c r="B159">
        <v>46188</v>
      </c>
      <c r="C159" t="s">
        <v>24</v>
      </c>
      <c r="D159" t="s">
        <v>58</v>
      </c>
      <c r="E159">
        <v>3</v>
      </c>
      <c r="F159">
        <v>46112</v>
      </c>
      <c r="G159" t="s">
        <v>58</v>
      </c>
      <c r="H159" t="s">
        <v>52</v>
      </c>
      <c r="I159">
        <v>0</v>
      </c>
      <c r="J159">
        <v>0</v>
      </c>
      <c r="K159" t="s">
        <v>27</v>
      </c>
      <c r="L159">
        <v>0</v>
      </c>
      <c r="M159" t="s">
        <v>172</v>
      </c>
      <c r="N159">
        <v>1164</v>
      </c>
    </row>
    <row r="160" spans="1:14">
      <c r="A160">
        <v>16</v>
      </c>
      <c r="B160">
        <v>46188</v>
      </c>
      <c r="C160" t="s">
        <v>24</v>
      </c>
      <c r="D160" t="s">
        <v>58</v>
      </c>
      <c r="E160">
        <v>4</v>
      </c>
      <c r="F160">
        <v>46108</v>
      </c>
      <c r="G160" t="s">
        <v>58</v>
      </c>
      <c r="H160" t="s">
        <v>50</v>
      </c>
      <c r="I160">
        <v>4</v>
      </c>
      <c r="J160">
        <v>0</v>
      </c>
      <c r="K160" t="s">
        <v>171</v>
      </c>
      <c r="L160">
        <v>1</v>
      </c>
      <c r="M160" t="s">
        <v>172</v>
      </c>
      <c r="N160">
        <v>1070</v>
      </c>
    </row>
    <row r="161" spans="1:14">
      <c r="A161">
        <v>16</v>
      </c>
      <c r="B161">
        <v>46188</v>
      </c>
      <c r="C161" t="s">
        <v>24</v>
      </c>
      <c r="D161" t="s">
        <v>58</v>
      </c>
      <c r="E161">
        <v>5</v>
      </c>
      <c r="F161">
        <v>46039</v>
      </c>
      <c r="G161" t="s">
        <v>58</v>
      </c>
      <c r="H161" t="s">
        <v>225</v>
      </c>
      <c r="I161">
        <v>0</v>
      </c>
      <c r="J161">
        <v>0</v>
      </c>
      <c r="K161" t="s">
        <v>27</v>
      </c>
      <c r="L161">
        <v>0</v>
      </c>
      <c r="M161" t="s">
        <v>176</v>
      </c>
      <c r="N161">
        <v>1018</v>
      </c>
    </row>
    <row r="162" spans="1:14">
      <c r="A162">
        <v>17</v>
      </c>
      <c r="B162">
        <v>46189</v>
      </c>
      <c r="C162" t="s">
        <v>19</v>
      </c>
      <c r="D162" t="s">
        <v>60</v>
      </c>
      <c r="E162">
        <v>1</v>
      </c>
      <c r="F162">
        <v>46181</v>
      </c>
      <c r="G162" t="s">
        <v>60</v>
      </c>
      <c r="H162" t="s">
        <v>228</v>
      </c>
      <c r="I162">
        <v>3</v>
      </c>
      <c r="J162">
        <v>1</v>
      </c>
      <c r="K162" t="s">
        <v>171</v>
      </c>
      <c r="L162">
        <v>1</v>
      </c>
      <c r="M162" t="s">
        <v>172</v>
      </c>
      <c r="N162">
        <v>1305</v>
      </c>
    </row>
    <row r="163" spans="1:14">
      <c r="A163">
        <v>17</v>
      </c>
      <c r="B163">
        <v>46189</v>
      </c>
      <c r="C163" t="s">
        <v>19</v>
      </c>
      <c r="D163" t="s">
        <v>60</v>
      </c>
      <c r="E163">
        <v>2</v>
      </c>
      <c r="F163">
        <v>46177</v>
      </c>
      <c r="G163" t="s">
        <v>60</v>
      </c>
      <c r="H163" t="s">
        <v>180</v>
      </c>
      <c r="I163">
        <v>1</v>
      </c>
      <c r="J163">
        <v>2</v>
      </c>
      <c r="K163" t="s">
        <v>69</v>
      </c>
      <c r="L163">
        <v>0</v>
      </c>
      <c r="M163" t="s">
        <v>172</v>
      </c>
      <c r="N163">
        <v>1238</v>
      </c>
    </row>
    <row r="164" spans="1:14">
      <c r="A164">
        <v>17</v>
      </c>
      <c r="B164">
        <v>46189</v>
      </c>
      <c r="C164" t="s">
        <v>19</v>
      </c>
      <c r="D164" t="s">
        <v>60</v>
      </c>
      <c r="E164">
        <v>3</v>
      </c>
      <c r="F164">
        <v>46110</v>
      </c>
      <c r="G164" t="s">
        <v>60</v>
      </c>
      <c r="H164" t="s">
        <v>78</v>
      </c>
      <c r="I164">
        <v>3</v>
      </c>
      <c r="J164">
        <v>1</v>
      </c>
      <c r="K164" t="s">
        <v>171</v>
      </c>
      <c r="L164">
        <v>1</v>
      </c>
      <c r="M164" t="s">
        <v>172</v>
      </c>
      <c r="N164">
        <v>1109</v>
      </c>
    </row>
    <row r="165" spans="1:14">
      <c r="A165">
        <v>17</v>
      </c>
      <c r="B165">
        <v>46189</v>
      </c>
      <c r="C165" t="s">
        <v>19</v>
      </c>
      <c r="D165" t="s">
        <v>60</v>
      </c>
      <c r="E165">
        <v>4</v>
      </c>
      <c r="F165">
        <v>46107</v>
      </c>
      <c r="G165" t="s">
        <v>60</v>
      </c>
      <c r="H165" t="s">
        <v>35</v>
      </c>
      <c r="I165">
        <v>2</v>
      </c>
      <c r="J165">
        <v>1</v>
      </c>
      <c r="K165" t="s">
        <v>171</v>
      </c>
      <c r="L165">
        <v>1</v>
      </c>
      <c r="M165" t="s">
        <v>172</v>
      </c>
      <c r="N165">
        <v>1033</v>
      </c>
    </row>
    <row r="166" spans="1:14">
      <c r="A166">
        <v>17</v>
      </c>
      <c r="B166">
        <v>46189</v>
      </c>
      <c r="C166" t="s">
        <v>19</v>
      </c>
      <c r="D166" t="s">
        <v>60</v>
      </c>
      <c r="E166">
        <v>5</v>
      </c>
      <c r="F166">
        <v>45977</v>
      </c>
      <c r="G166" t="s">
        <v>60</v>
      </c>
      <c r="H166" t="s">
        <v>229</v>
      </c>
      <c r="I166">
        <v>3</v>
      </c>
      <c r="J166">
        <v>1</v>
      </c>
      <c r="K166" t="s">
        <v>171</v>
      </c>
      <c r="L166">
        <v>1</v>
      </c>
      <c r="M166" t="s">
        <v>185</v>
      </c>
      <c r="N166">
        <v>853</v>
      </c>
    </row>
    <row r="167" spans="1:14">
      <c r="A167">
        <v>17</v>
      </c>
      <c r="B167">
        <v>46189</v>
      </c>
      <c r="C167" t="s">
        <v>24</v>
      </c>
      <c r="D167" t="s">
        <v>61</v>
      </c>
      <c r="E167">
        <v>1</v>
      </c>
      <c r="F167">
        <v>46182</v>
      </c>
      <c r="G167" t="s">
        <v>61</v>
      </c>
      <c r="H167" t="s">
        <v>50</v>
      </c>
      <c r="I167">
        <v>0</v>
      </c>
      <c r="J167">
        <v>0</v>
      </c>
      <c r="K167" t="s">
        <v>27</v>
      </c>
      <c r="L167">
        <v>0</v>
      </c>
      <c r="M167" t="s">
        <v>172</v>
      </c>
      <c r="N167">
        <v>1322</v>
      </c>
    </row>
    <row r="168" spans="1:14">
      <c r="A168">
        <v>17</v>
      </c>
      <c r="B168">
        <v>46189</v>
      </c>
      <c r="C168" t="s">
        <v>24</v>
      </c>
      <c r="D168" t="s">
        <v>61</v>
      </c>
      <c r="E168">
        <v>2</v>
      </c>
      <c r="F168">
        <v>46173</v>
      </c>
      <c r="G168" t="s">
        <v>61</v>
      </c>
      <c r="H168" t="s">
        <v>193</v>
      </c>
      <c r="I168">
        <v>2</v>
      </c>
      <c r="J168">
        <v>3</v>
      </c>
      <c r="K168" t="s">
        <v>69</v>
      </c>
      <c r="L168">
        <v>0</v>
      </c>
      <c r="M168" t="s">
        <v>172</v>
      </c>
      <c r="N168">
        <v>1205</v>
      </c>
    </row>
    <row r="169" spans="1:14">
      <c r="A169">
        <v>17</v>
      </c>
      <c r="B169">
        <v>46189</v>
      </c>
      <c r="C169" t="s">
        <v>24</v>
      </c>
      <c r="D169" t="s">
        <v>61</v>
      </c>
      <c r="E169">
        <v>3</v>
      </c>
      <c r="F169">
        <v>46112</v>
      </c>
      <c r="G169" t="s">
        <v>61</v>
      </c>
      <c r="H169" t="s">
        <v>222</v>
      </c>
      <c r="I169">
        <v>3</v>
      </c>
      <c r="J169">
        <v>1</v>
      </c>
      <c r="K169" t="s">
        <v>171</v>
      </c>
      <c r="L169">
        <v>1</v>
      </c>
      <c r="M169" t="s">
        <v>172</v>
      </c>
      <c r="N169">
        <v>1160</v>
      </c>
    </row>
    <row r="170" spans="1:14">
      <c r="A170">
        <v>17</v>
      </c>
      <c r="B170">
        <v>46189</v>
      </c>
      <c r="C170" t="s">
        <v>24</v>
      </c>
      <c r="D170" t="s">
        <v>61</v>
      </c>
      <c r="E170">
        <v>4</v>
      </c>
      <c r="F170">
        <v>46109</v>
      </c>
      <c r="G170" t="s">
        <v>61</v>
      </c>
      <c r="H170" t="s">
        <v>195</v>
      </c>
      <c r="I170">
        <v>2</v>
      </c>
      <c r="J170">
        <v>0</v>
      </c>
      <c r="K170" t="s">
        <v>171</v>
      </c>
      <c r="L170">
        <v>1</v>
      </c>
      <c r="M170" t="s">
        <v>172</v>
      </c>
      <c r="N170">
        <v>1101</v>
      </c>
    </row>
    <row r="171" spans="1:14">
      <c r="A171">
        <v>17</v>
      </c>
      <c r="B171">
        <v>46189</v>
      </c>
      <c r="C171" t="s">
        <v>24</v>
      </c>
      <c r="D171" t="s">
        <v>61</v>
      </c>
      <c r="E171">
        <v>5</v>
      </c>
      <c r="F171">
        <v>46040</v>
      </c>
      <c r="G171" t="s">
        <v>61</v>
      </c>
      <c r="H171" t="s">
        <v>36</v>
      </c>
      <c r="I171">
        <v>0</v>
      </c>
      <c r="J171">
        <v>3</v>
      </c>
      <c r="K171" t="s">
        <v>69</v>
      </c>
      <c r="L171">
        <v>0</v>
      </c>
      <c r="M171" t="s">
        <v>176</v>
      </c>
      <c r="N171">
        <v>1019</v>
      </c>
    </row>
    <row r="172" spans="1:14">
      <c r="A172">
        <v>18</v>
      </c>
      <c r="B172">
        <v>46189</v>
      </c>
      <c r="C172" t="s">
        <v>19</v>
      </c>
      <c r="D172" t="s">
        <v>62</v>
      </c>
      <c r="E172">
        <v>1</v>
      </c>
      <c r="F172">
        <v>46182</v>
      </c>
      <c r="G172" t="s">
        <v>62</v>
      </c>
      <c r="H172" t="s">
        <v>189</v>
      </c>
      <c r="I172">
        <v>0</v>
      </c>
      <c r="J172">
        <v>2</v>
      </c>
      <c r="K172" t="s">
        <v>69</v>
      </c>
      <c r="L172">
        <v>0</v>
      </c>
      <c r="M172" t="s">
        <v>172</v>
      </c>
      <c r="N172">
        <v>1330</v>
      </c>
    </row>
    <row r="173" spans="1:14">
      <c r="A173">
        <v>18</v>
      </c>
      <c r="B173">
        <v>46189</v>
      </c>
      <c r="C173" t="s">
        <v>19</v>
      </c>
      <c r="D173" t="s">
        <v>62</v>
      </c>
      <c r="E173">
        <v>2</v>
      </c>
      <c r="F173">
        <v>46177</v>
      </c>
      <c r="G173" t="s">
        <v>62</v>
      </c>
      <c r="H173" t="s">
        <v>52</v>
      </c>
      <c r="I173">
        <v>1</v>
      </c>
      <c r="J173">
        <v>1</v>
      </c>
      <c r="K173" t="s">
        <v>27</v>
      </c>
      <c r="L173">
        <v>0</v>
      </c>
      <c r="M173" t="s">
        <v>172</v>
      </c>
      <c r="N173">
        <v>1245</v>
      </c>
    </row>
    <row r="174" spans="1:14">
      <c r="A174">
        <v>18</v>
      </c>
      <c r="B174">
        <v>46189</v>
      </c>
      <c r="C174" t="s">
        <v>19</v>
      </c>
      <c r="D174" t="s">
        <v>62</v>
      </c>
      <c r="E174">
        <v>3</v>
      </c>
      <c r="F174">
        <v>46171</v>
      </c>
      <c r="G174" t="s">
        <v>62</v>
      </c>
      <c r="H174" t="s">
        <v>230</v>
      </c>
      <c r="I174">
        <v>1</v>
      </c>
      <c r="J174">
        <v>0</v>
      </c>
      <c r="K174" t="s">
        <v>171</v>
      </c>
      <c r="L174">
        <v>1</v>
      </c>
      <c r="M174" t="s">
        <v>172</v>
      </c>
      <c r="N174">
        <v>1188</v>
      </c>
    </row>
    <row r="175" spans="1:14">
      <c r="A175">
        <v>18</v>
      </c>
      <c r="B175">
        <v>46189</v>
      </c>
      <c r="C175" t="s">
        <v>19</v>
      </c>
      <c r="D175" t="s">
        <v>62</v>
      </c>
      <c r="E175">
        <v>4</v>
      </c>
      <c r="F175">
        <v>46112</v>
      </c>
      <c r="G175" t="s">
        <v>62</v>
      </c>
      <c r="H175" t="s">
        <v>196</v>
      </c>
      <c r="I175">
        <v>2</v>
      </c>
      <c r="J175">
        <v>1</v>
      </c>
      <c r="K175" t="s">
        <v>171</v>
      </c>
      <c r="L175">
        <v>1</v>
      </c>
      <c r="M175" t="s">
        <v>185</v>
      </c>
      <c r="N175">
        <v>1169</v>
      </c>
    </row>
    <row r="176" spans="1:14">
      <c r="A176">
        <v>18</v>
      </c>
      <c r="B176">
        <v>46189</v>
      </c>
      <c r="C176" t="s">
        <v>19</v>
      </c>
      <c r="D176" t="s">
        <v>62</v>
      </c>
      <c r="E176">
        <v>5</v>
      </c>
      <c r="F176">
        <v>46003</v>
      </c>
      <c r="G176" t="s">
        <v>62</v>
      </c>
      <c r="H176" t="s">
        <v>68</v>
      </c>
      <c r="I176">
        <v>0</v>
      </c>
      <c r="J176">
        <v>1</v>
      </c>
      <c r="K176" t="s">
        <v>69</v>
      </c>
      <c r="L176">
        <v>0</v>
      </c>
      <c r="M176" t="s">
        <v>202</v>
      </c>
      <c r="N176">
        <v>963</v>
      </c>
    </row>
    <row r="177" spans="1:14">
      <c r="A177">
        <v>18</v>
      </c>
      <c r="B177">
        <v>46189</v>
      </c>
      <c r="C177" t="s">
        <v>24</v>
      </c>
      <c r="D177" t="s">
        <v>63</v>
      </c>
      <c r="E177">
        <v>1</v>
      </c>
      <c r="F177">
        <v>46180</v>
      </c>
      <c r="G177" t="s">
        <v>63</v>
      </c>
      <c r="H177" t="s">
        <v>36</v>
      </c>
      <c r="I177">
        <v>1</v>
      </c>
      <c r="J177">
        <v>1</v>
      </c>
      <c r="K177" t="s">
        <v>27</v>
      </c>
      <c r="L177">
        <v>0</v>
      </c>
      <c r="M177" t="s">
        <v>172</v>
      </c>
      <c r="N177">
        <v>1303</v>
      </c>
    </row>
    <row r="178" spans="1:14">
      <c r="A178">
        <v>18</v>
      </c>
      <c r="B178">
        <v>46189</v>
      </c>
      <c r="C178" t="s">
        <v>24</v>
      </c>
      <c r="D178" t="s">
        <v>63</v>
      </c>
      <c r="E178">
        <v>2</v>
      </c>
      <c r="F178">
        <v>46174</v>
      </c>
      <c r="G178" t="s">
        <v>63</v>
      </c>
      <c r="H178" t="s">
        <v>47</v>
      </c>
      <c r="I178">
        <v>3</v>
      </c>
      <c r="J178">
        <v>1</v>
      </c>
      <c r="K178" t="s">
        <v>171</v>
      </c>
      <c r="L178">
        <v>1</v>
      </c>
      <c r="M178" t="s">
        <v>172</v>
      </c>
      <c r="N178">
        <v>1211</v>
      </c>
    </row>
    <row r="179" spans="1:14">
      <c r="A179">
        <v>18</v>
      </c>
      <c r="B179">
        <v>46189</v>
      </c>
      <c r="C179" t="s">
        <v>24</v>
      </c>
      <c r="D179" t="s">
        <v>63</v>
      </c>
      <c r="E179">
        <v>3</v>
      </c>
      <c r="F179">
        <v>46112</v>
      </c>
      <c r="G179" t="s">
        <v>63</v>
      </c>
      <c r="H179" t="s">
        <v>38</v>
      </c>
      <c r="I179">
        <v>0</v>
      </c>
      <c r="J179">
        <v>0</v>
      </c>
      <c r="K179" t="s">
        <v>27</v>
      </c>
      <c r="L179">
        <v>0</v>
      </c>
      <c r="M179" t="s">
        <v>172</v>
      </c>
      <c r="N179">
        <v>1155</v>
      </c>
    </row>
    <row r="180" spans="1:14">
      <c r="A180">
        <v>18</v>
      </c>
      <c r="B180">
        <v>46189</v>
      </c>
      <c r="C180" t="s">
        <v>24</v>
      </c>
      <c r="D180" t="s">
        <v>63</v>
      </c>
      <c r="E180">
        <v>4</v>
      </c>
      <c r="F180">
        <v>46108</v>
      </c>
      <c r="G180" t="s">
        <v>63</v>
      </c>
      <c r="H180" t="s">
        <v>45</v>
      </c>
      <c r="I180">
        <v>1</v>
      </c>
      <c r="J180">
        <v>2</v>
      </c>
      <c r="K180" t="s">
        <v>69</v>
      </c>
      <c r="L180">
        <v>0</v>
      </c>
      <c r="M180" t="s">
        <v>172</v>
      </c>
      <c r="N180">
        <v>1069</v>
      </c>
    </row>
    <row r="181" spans="1:14">
      <c r="A181">
        <v>18</v>
      </c>
      <c r="B181">
        <v>46189</v>
      </c>
      <c r="C181" t="s">
        <v>24</v>
      </c>
      <c r="D181" t="s">
        <v>63</v>
      </c>
      <c r="E181">
        <v>5</v>
      </c>
      <c r="F181">
        <v>45977</v>
      </c>
      <c r="G181" t="s">
        <v>63</v>
      </c>
      <c r="H181" t="s">
        <v>191</v>
      </c>
      <c r="I181">
        <v>4</v>
      </c>
      <c r="J181">
        <v>1</v>
      </c>
      <c r="K181" t="s">
        <v>171</v>
      </c>
      <c r="L181">
        <v>1</v>
      </c>
      <c r="M181" t="s">
        <v>185</v>
      </c>
      <c r="N181">
        <v>857</v>
      </c>
    </row>
    <row r="182" spans="1:14">
      <c r="A182">
        <v>19</v>
      </c>
      <c r="B182">
        <v>46189</v>
      </c>
      <c r="C182" t="s">
        <v>19</v>
      </c>
      <c r="D182" t="s">
        <v>65</v>
      </c>
      <c r="E182">
        <v>1</v>
      </c>
      <c r="F182">
        <v>46182</v>
      </c>
      <c r="G182" t="s">
        <v>65</v>
      </c>
      <c r="H182" t="s">
        <v>188</v>
      </c>
      <c r="I182">
        <v>3</v>
      </c>
      <c r="J182">
        <v>0</v>
      </c>
      <c r="K182" t="s">
        <v>171</v>
      </c>
      <c r="L182">
        <v>1</v>
      </c>
      <c r="M182" t="s">
        <v>172</v>
      </c>
      <c r="N182">
        <v>1310</v>
      </c>
    </row>
    <row r="183" spans="1:14">
      <c r="A183">
        <v>19</v>
      </c>
      <c r="B183">
        <v>46189</v>
      </c>
      <c r="C183" t="s">
        <v>19</v>
      </c>
      <c r="D183" t="s">
        <v>65</v>
      </c>
      <c r="E183">
        <v>2</v>
      </c>
      <c r="F183">
        <v>46179</v>
      </c>
      <c r="G183" t="s">
        <v>65</v>
      </c>
      <c r="H183" t="s">
        <v>231</v>
      </c>
      <c r="I183">
        <v>2</v>
      </c>
      <c r="J183">
        <v>0</v>
      </c>
      <c r="K183" t="s">
        <v>171</v>
      </c>
      <c r="L183">
        <v>1</v>
      </c>
      <c r="M183" t="s">
        <v>172</v>
      </c>
      <c r="N183">
        <v>1272</v>
      </c>
    </row>
    <row r="184" spans="1:14">
      <c r="A184">
        <v>19</v>
      </c>
      <c r="B184">
        <v>46189</v>
      </c>
      <c r="C184" t="s">
        <v>19</v>
      </c>
      <c r="D184" t="s">
        <v>65</v>
      </c>
      <c r="E184">
        <v>3</v>
      </c>
      <c r="F184">
        <v>46112</v>
      </c>
      <c r="G184" t="s">
        <v>65</v>
      </c>
      <c r="H184" t="s">
        <v>232</v>
      </c>
      <c r="I184">
        <v>5</v>
      </c>
      <c r="J184">
        <v>0</v>
      </c>
      <c r="K184" t="s">
        <v>171</v>
      </c>
      <c r="L184">
        <v>1</v>
      </c>
      <c r="M184" t="s">
        <v>172</v>
      </c>
      <c r="N184">
        <v>1135</v>
      </c>
    </row>
    <row r="185" spans="1:14">
      <c r="A185">
        <v>19</v>
      </c>
      <c r="B185">
        <v>46189</v>
      </c>
      <c r="C185" t="s">
        <v>19</v>
      </c>
      <c r="D185" t="s">
        <v>65</v>
      </c>
      <c r="E185">
        <v>4</v>
      </c>
      <c r="F185">
        <v>46108</v>
      </c>
      <c r="G185" t="s">
        <v>65</v>
      </c>
      <c r="H185" t="s">
        <v>233</v>
      </c>
      <c r="I185">
        <v>2</v>
      </c>
      <c r="J185">
        <v>1</v>
      </c>
      <c r="K185" t="s">
        <v>171</v>
      </c>
      <c r="L185">
        <v>1</v>
      </c>
      <c r="M185" t="s">
        <v>172</v>
      </c>
      <c r="N185">
        <v>1060</v>
      </c>
    </row>
    <row r="186" spans="1:14">
      <c r="A186">
        <v>19</v>
      </c>
      <c r="B186">
        <v>46189</v>
      </c>
      <c r="C186" t="s">
        <v>19</v>
      </c>
      <c r="D186" t="s">
        <v>65</v>
      </c>
      <c r="E186">
        <v>5</v>
      </c>
      <c r="F186">
        <v>45975</v>
      </c>
      <c r="G186" t="s">
        <v>65</v>
      </c>
      <c r="H186" t="s">
        <v>234</v>
      </c>
      <c r="I186">
        <v>2</v>
      </c>
      <c r="J186">
        <v>0</v>
      </c>
      <c r="K186" t="s">
        <v>171</v>
      </c>
      <c r="L186">
        <v>1</v>
      </c>
      <c r="M186" t="s">
        <v>172</v>
      </c>
      <c r="N186">
        <v>804</v>
      </c>
    </row>
    <row r="187" spans="1:14">
      <c r="A187">
        <v>19</v>
      </c>
      <c r="B187">
        <v>46189</v>
      </c>
      <c r="C187" t="s">
        <v>24</v>
      </c>
      <c r="D187" t="s">
        <v>66</v>
      </c>
      <c r="E187">
        <v>1</v>
      </c>
      <c r="F187">
        <v>46183</v>
      </c>
      <c r="G187" t="s">
        <v>66</v>
      </c>
      <c r="H187" t="s">
        <v>196</v>
      </c>
      <c r="I187">
        <v>4</v>
      </c>
      <c r="J187">
        <v>0</v>
      </c>
      <c r="K187" t="s">
        <v>171</v>
      </c>
      <c r="L187">
        <v>1</v>
      </c>
      <c r="M187" t="s">
        <v>172</v>
      </c>
      <c r="N187">
        <v>1331</v>
      </c>
    </row>
    <row r="188" spans="1:14">
      <c r="A188">
        <v>19</v>
      </c>
      <c r="B188">
        <v>46189</v>
      </c>
      <c r="C188" t="s">
        <v>24</v>
      </c>
      <c r="D188" t="s">
        <v>66</v>
      </c>
      <c r="E188">
        <v>2</v>
      </c>
      <c r="F188">
        <v>46176</v>
      </c>
      <c r="G188" t="s">
        <v>66</v>
      </c>
      <c r="H188" t="s">
        <v>45</v>
      </c>
      <c r="I188">
        <v>1</v>
      </c>
      <c r="J188">
        <v>0</v>
      </c>
      <c r="K188" t="s">
        <v>171</v>
      </c>
      <c r="L188">
        <v>1</v>
      </c>
      <c r="M188" t="s">
        <v>172</v>
      </c>
      <c r="N188">
        <v>1229</v>
      </c>
    </row>
    <row r="189" spans="1:14">
      <c r="A189">
        <v>19</v>
      </c>
      <c r="B189">
        <v>46189</v>
      </c>
      <c r="C189" t="s">
        <v>24</v>
      </c>
      <c r="D189" t="s">
        <v>66</v>
      </c>
      <c r="E189">
        <v>3</v>
      </c>
      <c r="F189">
        <v>46112</v>
      </c>
      <c r="G189" t="s">
        <v>66</v>
      </c>
      <c r="H189" t="s">
        <v>51</v>
      </c>
      <c r="I189">
        <v>0</v>
      </c>
      <c r="J189">
        <v>0</v>
      </c>
      <c r="K189" t="s">
        <v>27</v>
      </c>
      <c r="L189">
        <v>0</v>
      </c>
      <c r="M189" t="s">
        <v>172</v>
      </c>
      <c r="N189">
        <v>1134</v>
      </c>
    </row>
    <row r="190" spans="1:14">
      <c r="A190">
        <v>19</v>
      </c>
      <c r="B190">
        <v>46189</v>
      </c>
      <c r="C190" t="s">
        <v>24</v>
      </c>
      <c r="D190" t="s">
        <v>66</v>
      </c>
      <c r="E190">
        <v>4</v>
      </c>
      <c r="F190">
        <v>46108</v>
      </c>
      <c r="G190" t="s">
        <v>66</v>
      </c>
      <c r="H190" t="s">
        <v>182</v>
      </c>
      <c r="I190">
        <v>7</v>
      </c>
      <c r="J190">
        <v>0</v>
      </c>
      <c r="K190" t="s">
        <v>171</v>
      </c>
      <c r="L190">
        <v>1</v>
      </c>
      <c r="M190" t="s">
        <v>172</v>
      </c>
      <c r="N190">
        <v>1059</v>
      </c>
    </row>
    <row r="191" spans="1:14">
      <c r="A191">
        <v>19</v>
      </c>
      <c r="B191">
        <v>46189</v>
      </c>
      <c r="C191" t="s">
        <v>24</v>
      </c>
      <c r="D191" t="s">
        <v>66</v>
      </c>
      <c r="E191">
        <v>5</v>
      </c>
      <c r="F191">
        <v>46032</v>
      </c>
      <c r="G191" t="s">
        <v>66</v>
      </c>
      <c r="H191" t="s">
        <v>225</v>
      </c>
      <c r="I191">
        <v>0</v>
      </c>
      <c r="J191">
        <v>2</v>
      </c>
      <c r="K191" t="s">
        <v>69</v>
      </c>
      <c r="L191">
        <v>0</v>
      </c>
      <c r="M191" t="s">
        <v>176</v>
      </c>
      <c r="N191">
        <v>1014</v>
      </c>
    </row>
    <row r="192" spans="1:14">
      <c r="A192">
        <v>20</v>
      </c>
      <c r="B192">
        <v>46189</v>
      </c>
      <c r="C192" t="s">
        <v>19</v>
      </c>
      <c r="D192" t="s">
        <v>67</v>
      </c>
      <c r="E192">
        <v>1</v>
      </c>
      <c r="F192">
        <v>46174</v>
      </c>
      <c r="G192" t="s">
        <v>67</v>
      </c>
      <c r="H192" t="s">
        <v>48</v>
      </c>
      <c r="I192">
        <v>1</v>
      </c>
      <c r="J192">
        <v>0</v>
      </c>
      <c r="K192" t="s">
        <v>171</v>
      </c>
      <c r="L192">
        <v>1</v>
      </c>
      <c r="M192" t="s">
        <v>172</v>
      </c>
      <c r="N192">
        <v>1207</v>
      </c>
    </row>
    <row r="193" spans="1:14">
      <c r="A193">
        <v>20</v>
      </c>
      <c r="B193">
        <v>46189</v>
      </c>
      <c r="C193" t="s">
        <v>19</v>
      </c>
      <c r="D193" t="s">
        <v>67</v>
      </c>
      <c r="E193">
        <v>2</v>
      </c>
      <c r="F193">
        <v>46112</v>
      </c>
      <c r="G193" t="s">
        <v>67</v>
      </c>
      <c r="H193" t="s">
        <v>177</v>
      </c>
      <c r="I193">
        <v>1</v>
      </c>
      <c r="J193">
        <v>0</v>
      </c>
      <c r="K193" t="s">
        <v>171</v>
      </c>
      <c r="L193">
        <v>1</v>
      </c>
      <c r="M193" t="s">
        <v>172</v>
      </c>
      <c r="N193">
        <v>1136</v>
      </c>
    </row>
    <row r="194" spans="1:14">
      <c r="A194">
        <v>20</v>
      </c>
      <c r="B194">
        <v>46189</v>
      </c>
      <c r="C194" t="s">
        <v>19</v>
      </c>
      <c r="D194" t="s">
        <v>67</v>
      </c>
      <c r="E194">
        <v>3</v>
      </c>
      <c r="F194">
        <v>46108</v>
      </c>
      <c r="G194" t="s">
        <v>67</v>
      </c>
      <c r="H194" t="s">
        <v>70</v>
      </c>
      <c r="I194">
        <v>5</v>
      </c>
      <c r="J194">
        <v>1</v>
      </c>
      <c r="K194" t="s">
        <v>171</v>
      </c>
      <c r="L194">
        <v>1</v>
      </c>
      <c r="M194" t="s">
        <v>172</v>
      </c>
      <c r="N194">
        <v>1061</v>
      </c>
    </row>
    <row r="195" spans="1:14">
      <c r="A195">
        <v>20</v>
      </c>
      <c r="B195">
        <v>46189</v>
      </c>
      <c r="C195" t="s">
        <v>19</v>
      </c>
      <c r="D195" t="s">
        <v>67</v>
      </c>
      <c r="E195">
        <v>4</v>
      </c>
      <c r="F195">
        <v>45979</v>
      </c>
      <c r="G195" t="s">
        <v>67</v>
      </c>
      <c r="H195" t="s">
        <v>26</v>
      </c>
      <c r="I195">
        <v>1</v>
      </c>
      <c r="J195">
        <v>1</v>
      </c>
      <c r="K195" t="s">
        <v>27</v>
      </c>
      <c r="L195">
        <v>0</v>
      </c>
      <c r="M195" t="s">
        <v>185</v>
      </c>
      <c r="N195">
        <v>912</v>
      </c>
    </row>
    <row r="196" spans="1:14">
      <c r="A196">
        <v>20</v>
      </c>
      <c r="B196">
        <v>46189</v>
      </c>
      <c r="C196" t="s">
        <v>19</v>
      </c>
      <c r="D196" t="s">
        <v>67</v>
      </c>
      <c r="E196">
        <v>5</v>
      </c>
      <c r="F196">
        <v>45976</v>
      </c>
      <c r="G196" t="s">
        <v>67</v>
      </c>
      <c r="H196" t="s">
        <v>235</v>
      </c>
      <c r="I196">
        <v>2</v>
      </c>
      <c r="J196">
        <v>0</v>
      </c>
      <c r="K196" t="s">
        <v>171</v>
      </c>
      <c r="L196">
        <v>1</v>
      </c>
      <c r="M196" t="s">
        <v>185</v>
      </c>
      <c r="N196">
        <v>838</v>
      </c>
    </row>
    <row r="197" spans="1:14">
      <c r="A197">
        <v>20</v>
      </c>
      <c r="B197">
        <v>46189</v>
      </c>
      <c r="C197" t="s">
        <v>24</v>
      </c>
      <c r="D197" t="s">
        <v>68</v>
      </c>
      <c r="E197">
        <v>1</v>
      </c>
      <c r="F197">
        <v>46180</v>
      </c>
      <c r="G197" t="s">
        <v>68</v>
      </c>
      <c r="H197" t="s">
        <v>78</v>
      </c>
      <c r="I197">
        <v>0</v>
      </c>
      <c r="J197">
        <v>2</v>
      </c>
      <c r="K197" t="s">
        <v>69</v>
      </c>
      <c r="L197">
        <v>0</v>
      </c>
      <c r="M197" t="s">
        <v>172</v>
      </c>
      <c r="N197">
        <v>1300</v>
      </c>
    </row>
    <row r="198" spans="1:14">
      <c r="A198">
        <v>20</v>
      </c>
      <c r="B198">
        <v>46189</v>
      </c>
      <c r="C198" t="s">
        <v>24</v>
      </c>
      <c r="D198" t="s">
        <v>68</v>
      </c>
      <c r="E198">
        <v>2</v>
      </c>
      <c r="F198">
        <v>46173</v>
      </c>
      <c r="G198" t="s">
        <v>68</v>
      </c>
      <c r="H198" t="s">
        <v>38</v>
      </c>
      <c r="I198">
        <v>1</v>
      </c>
      <c r="J198">
        <v>4</v>
      </c>
      <c r="K198" t="s">
        <v>69</v>
      </c>
      <c r="L198">
        <v>0</v>
      </c>
      <c r="M198" t="s">
        <v>172</v>
      </c>
      <c r="N198">
        <v>1204</v>
      </c>
    </row>
    <row r="199" spans="1:14">
      <c r="A199">
        <v>20</v>
      </c>
      <c r="B199">
        <v>46189</v>
      </c>
      <c r="C199" t="s">
        <v>24</v>
      </c>
      <c r="D199" t="s">
        <v>68</v>
      </c>
      <c r="E199">
        <v>3</v>
      </c>
      <c r="F199">
        <v>46112</v>
      </c>
      <c r="G199" t="s">
        <v>68</v>
      </c>
      <c r="H199" t="s">
        <v>225</v>
      </c>
      <c r="I199">
        <v>2</v>
      </c>
      <c r="J199">
        <v>2</v>
      </c>
      <c r="K199" t="s">
        <v>27</v>
      </c>
      <c r="L199">
        <v>0</v>
      </c>
      <c r="M199" t="s">
        <v>224</v>
      </c>
      <c r="N199">
        <v>1147</v>
      </c>
    </row>
    <row r="200" spans="1:14">
      <c r="A200">
        <v>20</v>
      </c>
      <c r="B200">
        <v>46189</v>
      </c>
      <c r="C200" t="s">
        <v>24</v>
      </c>
      <c r="D200" t="s">
        <v>68</v>
      </c>
      <c r="E200">
        <v>4</v>
      </c>
      <c r="F200">
        <v>46108</v>
      </c>
      <c r="G200" t="s">
        <v>68</v>
      </c>
      <c r="H200" t="s">
        <v>223</v>
      </c>
      <c r="I200">
        <v>2</v>
      </c>
      <c r="J200">
        <v>2</v>
      </c>
      <c r="K200" t="s">
        <v>27</v>
      </c>
      <c r="L200">
        <v>0</v>
      </c>
      <c r="M200" t="s">
        <v>224</v>
      </c>
      <c r="N200">
        <v>1075</v>
      </c>
    </row>
    <row r="201" spans="1:14">
      <c r="A201">
        <v>20</v>
      </c>
      <c r="B201">
        <v>46189</v>
      </c>
      <c r="C201" t="s">
        <v>24</v>
      </c>
      <c r="D201" t="s">
        <v>68</v>
      </c>
      <c r="E201">
        <v>5</v>
      </c>
      <c r="F201">
        <v>46009</v>
      </c>
      <c r="G201" t="s">
        <v>68</v>
      </c>
      <c r="H201" t="s">
        <v>36</v>
      </c>
      <c r="I201">
        <v>2</v>
      </c>
      <c r="J201">
        <v>3</v>
      </c>
      <c r="K201" t="s">
        <v>69</v>
      </c>
      <c r="L201">
        <v>0</v>
      </c>
      <c r="M201" t="s">
        <v>202</v>
      </c>
      <c r="N201">
        <v>967</v>
      </c>
    </row>
    <row r="202" spans="1:14">
      <c r="A202">
        <v>21</v>
      </c>
      <c r="B202">
        <v>46190</v>
      </c>
      <c r="C202" t="s">
        <v>19</v>
      </c>
      <c r="D202" t="s">
        <v>70</v>
      </c>
      <c r="E202">
        <v>1</v>
      </c>
      <c r="F202">
        <v>46175</v>
      </c>
      <c r="G202" t="s">
        <v>70</v>
      </c>
      <c r="H202" t="s">
        <v>192</v>
      </c>
      <c r="I202">
        <v>1</v>
      </c>
      <c r="J202">
        <v>1</v>
      </c>
      <c r="K202" t="s">
        <v>27</v>
      </c>
      <c r="L202">
        <v>0</v>
      </c>
      <c r="M202" t="s">
        <v>172</v>
      </c>
      <c r="N202">
        <v>1219</v>
      </c>
    </row>
    <row r="203" spans="1:14">
      <c r="A203">
        <v>21</v>
      </c>
      <c r="B203">
        <v>46190</v>
      </c>
      <c r="C203" t="s">
        <v>19</v>
      </c>
      <c r="D203" t="s">
        <v>70</v>
      </c>
      <c r="E203">
        <v>2</v>
      </c>
      <c r="F203">
        <v>46164</v>
      </c>
      <c r="G203" t="s">
        <v>70</v>
      </c>
      <c r="H203" t="s">
        <v>20</v>
      </c>
      <c r="I203">
        <v>0</v>
      </c>
      <c r="J203">
        <v>2</v>
      </c>
      <c r="K203" t="s">
        <v>69</v>
      </c>
      <c r="L203">
        <v>0</v>
      </c>
      <c r="M203" t="s">
        <v>172</v>
      </c>
      <c r="N203">
        <v>1182</v>
      </c>
    </row>
    <row r="204" spans="1:14">
      <c r="A204">
        <v>21</v>
      </c>
      <c r="B204">
        <v>46190</v>
      </c>
      <c r="C204" t="s">
        <v>19</v>
      </c>
      <c r="D204" t="s">
        <v>70</v>
      </c>
      <c r="E204">
        <v>3</v>
      </c>
      <c r="F204">
        <v>46111</v>
      </c>
      <c r="G204" t="s">
        <v>70</v>
      </c>
      <c r="H204" t="s">
        <v>42</v>
      </c>
      <c r="I204">
        <v>1</v>
      </c>
      <c r="J204">
        <v>2</v>
      </c>
      <c r="K204" t="s">
        <v>69</v>
      </c>
      <c r="L204">
        <v>0</v>
      </c>
      <c r="M204" t="s">
        <v>172</v>
      </c>
      <c r="N204">
        <v>1122</v>
      </c>
    </row>
    <row r="205" spans="1:14">
      <c r="A205">
        <v>21</v>
      </c>
      <c r="B205">
        <v>46190</v>
      </c>
      <c r="C205" t="s">
        <v>19</v>
      </c>
      <c r="D205" t="s">
        <v>70</v>
      </c>
      <c r="E205">
        <v>4</v>
      </c>
      <c r="F205">
        <v>46108</v>
      </c>
      <c r="G205" t="s">
        <v>70</v>
      </c>
      <c r="H205" t="s">
        <v>67</v>
      </c>
      <c r="I205">
        <v>1</v>
      </c>
      <c r="J205">
        <v>5</v>
      </c>
      <c r="K205" t="s">
        <v>69</v>
      </c>
      <c r="L205">
        <v>0</v>
      </c>
      <c r="M205" t="s">
        <v>172</v>
      </c>
      <c r="N205">
        <v>1061</v>
      </c>
    </row>
    <row r="206" spans="1:14">
      <c r="A206">
        <v>21</v>
      </c>
      <c r="B206">
        <v>46190</v>
      </c>
      <c r="C206" t="s">
        <v>19</v>
      </c>
      <c r="D206" t="s">
        <v>70</v>
      </c>
      <c r="E206">
        <v>5</v>
      </c>
      <c r="F206">
        <v>45979</v>
      </c>
      <c r="G206" t="s">
        <v>70</v>
      </c>
      <c r="H206" t="s">
        <v>177</v>
      </c>
      <c r="I206">
        <v>0</v>
      </c>
      <c r="J206">
        <v>1</v>
      </c>
      <c r="K206" t="s">
        <v>69</v>
      </c>
      <c r="L206">
        <v>0</v>
      </c>
      <c r="M206" t="s">
        <v>172</v>
      </c>
      <c r="N206">
        <v>902</v>
      </c>
    </row>
    <row r="207" spans="1:14">
      <c r="A207">
        <v>21</v>
      </c>
      <c r="B207">
        <v>46190</v>
      </c>
      <c r="C207" t="s">
        <v>24</v>
      </c>
      <c r="D207" t="s">
        <v>71</v>
      </c>
      <c r="E207">
        <v>1</v>
      </c>
      <c r="F207">
        <v>46179</v>
      </c>
      <c r="G207" t="s">
        <v>71</v>
      </c>
      <c r="H207" t="s">
        <v>26</v>
      </c>
      <c r="I207">
        <v>1</v>
      </c>
      <c r="J207">
        <v>1</v>
      </c>
      <c r="K207" t="s">
        <v>27</v>
      </c>
      <c r="L207">
        <v>0</v>
      </c>
      <c r="M207" t="s">
        <v>172</v>
      </c>
      <c r="N207">
        <v>1285</v>
      </c>
    </row>
    <row r="208" spans="1:14">
      <c r="A208">
        <v>21</v>
      </c>
      <c r="B208">
        <v>46190</v>
      </c>
      <c r="C208" t="s">
        <v>24</v>
      </c>
      <c r="D208" t="s">
        <v>71</v>
      </c>
      <c r="E208">
        <v>2</v>
      </c>
      <c r="F208">
        <v>46176</v>
      </c>
      <c r="G208" t="s">
        <v>71</v>
      </c>
      <c r="H208" t="s">
        <v>236</v>
      </c>
      <c r="I208">
        <v>4</v>
      </c>
      <c r="J208">
        <v>2</v>
      </c>
      <c r="K208" t="s">
        <v>171</v>
      </c>
      <c r="L208">
        <v>1</v>
      </c>
      <c r="M208" t="s">
        <v>172</v>
      </c>
      <c r="N208">
        <v>1230</v>
      </c>
    </row>
    <row r="209" spans="1:14">
      <c r="A209">
        <v>21</v>
      </c>
      <c r="B209">
        <v>46190</v>
      </c>
      <c r="C209" t="s">
        <v>24</v>
      </c>
      <c r="D209" t="s">
        <v>71</v>
      </c>
      <c r="E209">
        <v>3</v>
      </c>
      <c r="F209">
        <v>46173</v>
      </c>
      <c r="G209" t="s">
        <v>71</v>
      </c>
      <c r="H209" t="s">
        <v>35</v>
      </c>
      <c r="I209">
        <v>2</v>
      </c>
      <c r="J209">
        <v>6</v>
      </c>
      <c r="K209" t="s">
        <v>69</v>
      </c>
      <c r="L209">
        <v>0</v>
      </c>
      <c r="M209" t="s">
        <v>172</v>
      </c>
      <c r="N209">
        <v>1198</v>
      </c>
    </row>
    <row r="210" spans="1:14">
      <c r="A210">
        <v>21</v>
      </c>
      <c r="B210">
        <v>46190</v>
      </c>
      <c r="C210" t="s">
        <v>24</v>
      </c>
      <c r="D210" t="s">
        <v>71</v>
      </c>
      <c r="E210">
        <v>4</v>
      </c>
      <c r="F210">
        <v>46112</v>
      </c>
      <c r="G210" t="s">
        <v>71</v>
      </c>
      <c r="H210" t="s">
        <v>21</v>
      </c>
      <c r="I210">
        <v>2</v>
      </c>
      <c r="J210">
        <v>1</v>
      </c>
      <c r="K210" t="s">
        <v>171</v>
      </c>
      <c r="L210">
        <v>1</v>
      </c>
      <c r="M210" t="s">
        <v>172</v>
      </c>
      <c r="N210">
        <v>1163</v>
      </c>
    </row>
    <row r="211" spans="1:14">
      <c r="A211">
        <v>21</v>
      </c>
      <c r="B211">
        <v>46190</v>
      </c>
      <c r="C211" t="s">
        <v>24</v>
      </c>
      <c r="D211" t="s">
        <v>71</v>
      </c>
      <c r="E211">
        <v>5</v>
      </c>
      <c r="F211">
        <v>46108</v>
      </c>
      <c r="G211" t="s">
        <v>71</v>
      </c>
      <c r="H211" t="s">
        <v>21</v>
      </c>
      <c r="I211">
        <v>1</v>
      </c>
      <c r="J211">
        <v>1</v>
      </c>
      <c r="K211" t="s">
        <v>27</v>
      </c>
      <c r="L211">
        <v>0</v>
      </c>
      <c r="M211" t="s">
        <v>172</v>
      </c>
      <c r="N211">
        <v>1071</v>
      </c>
    </row>
    <row r="212" spans="1:14">
      <c r="A212">
        <v>22</v>
      </c>
      <c r="B212">
        <v>46190</v>
      </c>
      <c r="C212" t="s">
        <v>19</v>
      </c>
      <c r="D212" t="s">
        <v>72</v>
      </c>
      <c r="E212">
        <v>1</v>
      </c>
      <c r="F212">
        <v>46183</v>
      </c>
      <c r="G212" t="s">
        <v>72</v>
      </c>
      <c r="H212" t="s">
        <v>223</v>
      </c>
      <c r="I212">
        <v>3</v>
      </c>
      <c r="J212">
        <v>0</v>
      </c>
      <c r="K212" t="s">
        <v>171</v>
      </c>
      <c r="L212">
        <v>1</v>
      </c>
      <c r="M212" t="s">
        <v>172</v>
      </c>
      <c r="N212">
        <v>1332</v>
      </c>
    </row>
    <row r="213" spans="1:14">
      <c r="A213">
        <v>22</v>
      </c>
      <c r="B213">
        <v>46190</v>
      </c>
      <c r="C213" t="s">
        <v>19</v>
      </c>
      <c r="D213" t="s">
        <v>72</v>
      </c>
      <c r="E213">
        <v>2</v>
      </c>
      <c r="F213">
        <v>46179</v>
      </c>
      <c r="G213" t="s">
        <v>72</v>
      </c>
      <c r="H213" t="s">
        <v>56</v>
      </c>
      <c r="I213">
        <v>1</v>
      </c>
      <c r="J213">
        <v>0</v>
      </c>
      <c r="K213" t="s">
        <v>171</v>
      </c>
      <c r="L213">
        <v>1</v>
      </c>
      <c r="M213" t="s">
        <v>172</v>
      </c>
      <c r="N213">
        <v>1280</v>
      </c>
    </row>
    <row r="214" spans="1:14">
      <c r="A214">
        <v>22</v>
      </c>
      <c r="B214">
        <v>46190</v>
      </c>
      <c r="C214" t="s">
        <v>19</v>
      </c>
      <c r="D214" t="s">
        <v>72</v>
      </c>
      <c r="E214">
        <v>3</v>
      </c>
      <c r="F214">
        <v>46112</v>
      </c>
      <c r="G214" t="s">
        <v>72</v>
      </c>
      <c r="H214" t="s">
        <v>46</v>
      </c>
      <c r="I214">
        <v>0</v>
      </c>
      <c r="J214">
        <v>1</v>
      </c>
      <c r="K214" t="s">
        <v>69</v>
      </c>
      <c r="L214">
        <v>0</v>
      </c>
      <c r="M214" t="s">
        <v>172</v>
      </c>
      <c r="N214">
        <v>1142</v>
      </c>
    </row>
    <row r="215" spans="1:14">
      <c r="A215">
        <v>22</v>
      </c>
      <c r="B215">
        <v>46190</v>
      </c>
      <c r="C215" t="s">
        <v>19</v>
      </c>
      <c r="D215" t="s">
        <v>72</v>
      </c>
      <c r="E215">
        <v>4</v>
      </c>
      <c r="F215">
        <v>46108</v>
      </c>
      <c r="G215" t="s">
        <v>72</v>
      </c>
      <c r="H215" t="s">
        <v>51</v>
      </c>
      <c r="I215">
        <v>1</v>
      </c>
      <c r="J215">
        <v>1</v>
      </c>
      <c r="K215" t="s">
        <v>27</v>
      </c>
      <c r="L215">
        <v>0</v>
      </c>
      <c r="M215" t="s">
        <v>172</v>
      </c>
      <c r="N215">
        <v>1062</v>
      </c>
    </row>
    <row r="216" spans="1:14">
      <c r="A216">
        <v>22</v>
      </c>
      <c r="B216">
        <v>46190</v>
      </c>
      <c r="C216" t="s">
        <v>19</v>
      </c>
      <c r="D216" t="s">
        <v>72</v>
      </c>
      <c r="E216">
        <v>5</v>
      </c>
      <c r="F216">
        <v>45977</v>
      </c>
      <c r="G216" t="s">
        <v>72</v>
      </c>
      <c r="H216" t="s">
        <v>237</v>
      </c>
      <c r="I216">
        <v>2</v>
      </c>
      <c r="J216">
        <v>0</v>
      </c>
      <c r="K216" t="s">
        <v>171</v>
      </c>
      <c r="L216">
        <v>1</v>
      </c>
      <c r="M216" t="s">
        <v>185</v>
      </c>
      <c r="N216">
        <v>858</v>
      </c>
    </row>
    <row r="217" spans="1:14">
      <c r="A217">
        <v>22</v>
      </c>
      <c r="B217">
        <v>46190</v>
      </c>
      <c r="C217" t="s">
        <v>24</v>
      </c>
      <c r="D217" t="s">
        <v>73</v>
      </c>
      <c r="E217">
        <v>1</v>
      </c>
      <c r="F217">
        <v>46180</v>
      </c>
      <c r="G217" t="s">
        <v>73</v>
      </c>
      <c r="H217" t="s">
        <v>214</v>
      </c>
      <c r="I217">
        <v>2</v>
      </c>
      <c r="J217">
        <v>1</v>
      </c>
      <c r="K217" t="s">
        <v>171</v>
      </c>
      <c r="L217">
        <v>1</v>
      </c>
      <c r="M217" t="s">
        <v>172</v>
      </c>
      <c r="N217">
        <v>1297</v>
      </c>
    </row>
    <row r="218" spans="1:14">
      <c r="A218">
        <v>22</v>
      </c>
      <c r="B218">
        <v>46190</v>
      </c>
      <c r="C218" t="s">
        <v>24</v>
      </c>
      <c r="D218" t="s">
        <v>73</v>
      </c>
      <c r="E218">
        <v>2</v>
      </c>
      <c r="F218">
        <v>46175</v>
      </c>
      <c r="G218" t="s">
        <v>73</v>
      </c>
      <c r="H218" t="s">
        <v>57</v>
      </c>
      <c r="I218">
        <v>0</v>
      </c>
      <c r="J218">
        <v>2</v>
      </c>
      <c r="K218" t="s">
        <v>69</v>
      </c>
      <c r="L218">
        <v>0</v>
      </c>
      <c r="M218" t="s">
        <v>172</v>
      </c>
      <c r="N218">
        <v>1215</v>
      </c>
    </row>
    <row r="219" spans="1:14">
      <c r="A219">
        <v>22</v>
      </c>
      <c r="B219">
        <v>46190</v>
      </c>
      <c r="C219" t="s">
        <v>24</v>
      </c>
      <c r="D219" t="s">
        <v>73</v>
      </c>
      <c r="E219">
        <v>3</v>
      </c>
      <c r="F219">
        <v>46112</v>
      </c>
      <c r="G219" t="s">
        <v>73</v>
      </c>
      <c r="H219" t="s">
        <v>35</v>
      </c>
      <c r="I219">
        <v>1</v>
      </c>
      <c r="J219">
        <v>3</v>
      </c>
      <c r="K219" t="s">
        <v>69</v>
      </c>
      <c r="L219">
        <v>0</v>
      </c>
      <c r="M219" t="s">
        <v>172</v>
      </c>
      <c r="N219">
        <v>1138</v>
      </c>
    </row>
    <row r="220" spans="1:14">
      <c r="A220">
        <v>22</v>
      </c>
      <c r="B220">
        <v>46190</v>
      </c>
      <c r="C220" t="s">
        <v>24</v>
      </c>
      <c r="D220" t="s">
        <v>73</v>
      </c>
      <c r="E220">
        <v>4</v>
      </c>
      <c r="F220">
        <v>46107</v>
      </c>
      <c r="G220" t="s">
        <v>73</v>
      </c>
      <c r="H220" t="s">
        <v>78</v>
      </c>
      <c r="I220">
        <v>2</v>
      </c>
      <c r="J220">
        <v>1</v>
      </c>
      <c r="K220" t="s">
        <v>171</v>
      </c>
      <c r="L220">
        <v>1</v>
      </c>
      <c r="M220" t="s">
        <v>172</v>
      </c>
      <c r="N220">
        <v>1034</v>
      </c>
    </row>
    <row r="221" spans="1:14">
      <c r="A221">
        <v>22</v>
      </c>
      <c r="B221">
        <v>46190</v>
      </c>
      <c r="C221" t="s">
        <v>24</v>
      </c>
      <c r="D221" t="s">
        <v>73</v>
      </c>
      <c r="E221">
        <v>5</v>
      </c>
      <c r="F221">
        <v>45978</v>
      </c>
      <c r="G221" t="s">
        <v>73</v>
      </c>
      <c r="H221" t="s">
        <v>238</v>
      </c>
      <c r="I221">
        <v>3</v>
      </c>
      <c r="J221">
        <v>2</v>
      </c>
      <c r="K221" t="s">
        <v>171</v>
      </c>
      <c r="L221">
        <v>1</v>
      </c>
      <c r="M221" t="s">
        <v>185</v>
      </c>
      <c r="N221">
        <v>871</v>
      </c>
    </row>
    <row r="222" spans="1:14">
      <c r="A222">
        <v>23</v>
      </c>
      <c r="B222">
        <v>46190</v>
      </c>
      <c r="C222" t="s">
        <v>19</v>
      </c>
      <c r="D222" t="s">
        <v>75</v>
      </c>
      <c r="E222">
        <v>1</v>
      </c>
      <c r="F222">
        <v>46183</v>
      </c>
      <c r="G222" t="s">
        <v>75</v>
      </c>
      <c r="H222" t="s">
        <v>225</v>
      </c>
      <c r="I222">
        <v>2</v>
      </c>
      <c r="J222">
        <v>1</v>
      </c>
      <c r="K222" t="s">
        <v>171</v>
      </c>
      <c r="L222">
        <v>1</v>
      </c>
      <c r="M222" t="s">
        <v>172</v>
      </c>
      <c r="N222">
        <v>1333</v>
      </c>
    </row>
    <row r="223" spans="1:14">
      <c r="A223">
        <v>23</v>
      </c>
      <c r="B223">
        <v>46190</v>
      </c>
      <c r="C223" t="s">
        <v>19</v>
      </c>
      <c r="D223" t="s">
        <v>75</v>
      </c>
      <c r="E223">
        <v>2</v>
      </c>
      <c r="F223">
        <v>46179</v>
      </c>
      <c r="G223" t="s">
        <v>75</v>
      </c>
      <c r="H223" t="s">
        <v>219</v>
      </c>
      <c r="I223">
        <v>2</v>
      </c>
      <c r="J223">
        <v>1</v>
      </c>
      <c r="K223" t="s">
        <v>171</v>
      </c>
      <c r="L223">
        <v>1</v>
      </c>
      <c r="M223" t="s">
        <v>172</v>
      </c>
      <c r="N223">
        <v>1286</v>
      </c>
    </row>
    <row r="224" spans="1:14">
      <c r="A224">
        <v>23</v>
      </c>
      <c r="B224">
        <v>46190</v>
      </c>
      <c r="C224" t="s">
        <v>19</v>
      </c>
      <c r="D224" t="s">
        <v>75</v>
      </c>
      <c r="E224">
        <v>3</v>
      </c>
      <c r="F224">
        <v>46112</v>
      </c>
      <c r="G224" t="s">
        <v>75</v>
      </c>
      <c r="H224" t="s">
        <v>193</v>
      </c>
      <c r="I224">
        <v>2</v>
      </c>
      <c r="J224">
        <v>0</v>
      </c>
      <c r="K224" t="s">
        <v>171</v>
      </c>
      <c r="L224">
        <v>1</v>
      </c>
      <c r="M224" t="s">
        <v>172</v>
      </c>
      <c r="N224">
        <v>1166</v>
      </c>
    </row>
    <row r="225" spans="1:14">
      <c r="A225">
        <v>23</v>
      </c>
      <c r="B225">
        <v>46190</v>
      </c>
      <c r="C225" t="s">
        <v>19</v>
      </c>
      <c r="D225" t="s">
        <v>75</v>
      </c>
      <c r="E225">
        <v>4</v>
      </c>
      <c r="F225">
        <v>46109</v>
      </c>
      <c r="G225" t="s">
        <v>75</v>
      </c>
      <c r="H225" t="s">
        <v>20</v>
      </c>
      <c r="I225">
        <v>0</v>
      </c>
      <c r="J225">
        <v>0</v>
      </c>
      <c r="K225" t="s">
        <v>27</v>
      </c>
      <c r="L225">
        <v>0</v>
      </c>
      <c r="M225" t="s">
        <v>172</v>
      </c>
      <c r="N225">
        <v>1098</v>
      </c>
    </row>
    <row r="226" spans="1:14">
      <c r="A226">
        <v>23</v>
      </c>
      <c r="B226">
        <v>46190</v>
      </c>
      <c r="C226" t="s">
        <v>19</v>
      </c>
      <c r="D226" t="s">
        <v>75</v>
      </c>
      <c r="E226">
        <v>5</v>
      </c>
      <c r="F226">
        <v>45977</v>
      </c>
      <c r="G226" t="s">
        <v>75</v>
      </c>
      <c r="H226" t="s">
        <v>239</v>
      </c>
      <c r="I226">
        <v>9</v>
      </c>
      <c r="J226">
        <v>1</v>
      </c>
      <c r="K226" t="s">
        <v>171</v>
      </c>
      <c r="L226">
        <v>1</v>
      </c>
      <c r="M226" t="s">
        <v>185</v>
      </c>
      <c r="N226">
        <v>854</v>
      </c>
    </row>
    <row r="227" spans="1:14">
      <c r="A227">
        <v>23</v>
      </c>
      <c r="B227">
        <v>46190</v>
      </c>
      <c r="C227" t="s">
        <v>24</v>
      </c>
      <c r="D227" t="s">
        <v>76</v>
      </c>
      <c r="E227">
        <v>1</v>
      </c>
      <c r="F227">
        <v>46182</v>
      </c>
      <c r="G227" t="s">
        <v>240</v>
      </c>
      <c r="H227" t="s">
        <v>219</v>
      </c>
      <c r="I227">
        <v>1</v>
      </c>
      <c r="J227">
        <v>2</v>
      </c>
      <c r="K227" t="s">
        <v>69</v>
      </c>
      <c r="L227">
        <v>0</v>
      </c>
      <c r="M227" t="s">
        <v>172</v>
      </c>
      <c r="N227">
        <v>1316</v>
      </c>
    </row>
    <row r="228" spans="1:14">
      <c r="A228">
        <v>23</v>
      </c>
      <c r="B228">
        <v>46190</v>
      </c>
      <c r="C228" t="s">
        <v>24</v>
      </c>
      <c r="D228" t="s">
        <v>76</v>
      </c>
      <c r="E228">
        <v>2</v>
      </c>
      <c r="F228">
        <v>46176</v>
      </c>
      <c r="G228" t="s">
        <v>240</v>
      </c>
      <c r="H228" t="s">
        <v>184</v>
      </c>
      <c r="I228">
        <v>0</v>
      </c>
      <c r="J228">
        <v>0</v>
      </c>
      <c r="K228" t="s">
        <v>27</v>
      </c>
      <c r="L228">
        <v>0</v>
      </c>
      <c r="M228" t="s">
        <v>172</v>
      </c>
      <c r="N228">
        <v>1225</v>
      </c>
    </row>
    <row r="229" spans="1:14">
      <c r="A229">
        <v>23</v>
      </c>
      <c r="B229">
        <v>46190</v>
      </c>
      <c r="C229" t="s">
        <v>24</v>
      </c>
      <c r="D229" t="s">
        <v>76</v>
      </c>
      <c r="E229">
        <v>3</v>
      </c>
      <c r="F229">
        <v>46112</v>
      </c>
      <c r="G229" t="s">
        <v>240</v>
      </c>
      <c r="H229" t="s">
        <v>173</v>
      </c>
      <c r="I229">
        <v>1</v>
      </c>
      <c r="J229">
        <v>0</v>
      </c>
      <c r="K229" t="s">
        <v>171</v>
      </c>
      <c r="L229">
        <v>1</v>
      </c>
      <c r="M229" t="s">
        <v>185</v>
      </c>
      <c r="N229">
        <v>1168</v>
      </c>
    </row>
    <row r="230" spans="1:14">
      <c r="A230">
        <v>23</v>
      </c>
      <c r="B230">
        <v>46190</v>
      </c>
      <c r="C230" t="s">
        <v>24</v>
      </c>
      <c r="D230" t="s">
        <v>76</v>
      </c>
      <c r="E230">
        <v>4</v>
      </c>
      <c r="F230">
        <v>46106</v>
      </c>
      <c r="G230" t="s">
        <v>240</v>
      </c>
      <c r="H230" t="s">
        <v>218</v>
      </c>
      <c r="I230">
        <v>2</v>
      </c>
      <c r="J230">
        <v>0</v>
      </c>
      <c r="K230" t="s">
        <v>171</v>
      </c>
      <c r="L230">
        <v>1</v>
      </c>
      <c r="M230" t="s">
        <v>172</v>
      </c>
      <c r="N230">
        <v>1027</v>
      </c>
    </row>
    <row r="231" spans="1:14">
      <c r="A231">
        <v>23</v>
      </c>
      <c r="B231">
        <v>46190</v>
      </c>
      <c r="C231" t="s">
        <v>24</v>
      </c>
      <c r="D231" t="s">
        <v>76</v>
      </c>
      <c r="E231">
        <v>5</v>
      </c>
      <c r="F231">
        <v>46028</v>
      </c>
      <c r="G231" t="s">
        <v>240</v>
      </c>
      <c r="H231" t="s">
        <v>66</v>
      </c>
      <c r="I231">
        <v>0</v>
      </c>
      <c r="J231">
        <v>1</v>
      </c>
      <c r="K231" t="s">
        <v>69</v>
      </c>
      <c r="L231">
        <v>0</v>
      </c>
      <c r="M231" t="s">
        <v>176</v>
      </c>
      <c r="N231">
        <v>1010</v>
      </c>
    </row>
    <row r="232" spans="1:14">
      <c r="A232">
        <v>24</v>
      </c>
      <c r="B232">
        <v>46190</v>
      </c>
      <c r="C232" t="s">
        <v>19</v>
      </c>
      <c r="D232" t="s">
        <v>77</v>
      </c>
      <c r="E232">
        <v>1</v>
      </c>
      <c r="F232">
        <v>46181</v>
      </c>
      <c r="G232" t="s">
        <v>77</v>
      </c>
      <c r="H232" t="s">
        <v>45</v>
      </c>
      <c r="I232">
        <v>1</v>
      </c>
      <c r="J232">
        <v>2</v>
      </c>
      <c r="K232" t="s">
        <v>69</v>
      </c>
      <c r="L232">
        <v>0</v>
      </c>
      <c r="M232" t="s">
        <v>172</v>
      </c>
      <c r="N232">
        <v>1306</v>
      </c>
    </row>
    <row r="233" spans="1:14">
      <c r="A233">
        <v>24</v>
      </c>
      <c r="B233">
        <v>46190</v>
      </c>
      <c r="C233" t="s">
        <v>19</v>
      </c>
      <c r="D233" t="s">
        <v>77</v>
      </c>
      <c r="E233">
        <v>2</v>
      </c>
      <c r="F233">
        <v>46174</v>
      </c>
      <c r="G233" t="s">
        <v>77</v>
      </c>
      <c r="H233" t="s">
        <v>25</v>
      </c>
      <c r="I233">
        <v>0</v>
      </c>
      <c r="J233">
        <v>2</v>
      </c>
      <c r="K233" t="s">
        <v>69</v>
      </c>
      <c r="L233">
        <v>0</v>
      </c>
      <c r="M233" t="s">
        <v>172</v>
      </c>
      <c r="N233">
        <v>1209</v>
      </c>
    </row>
    <row r="234" spans="1:14">
      <c r="A234">
        <v>24</v>
      </c>
      <c r="B234">
        <v>46190</v>
      </c>
      <c r="C234" t="s">
        <v>19</v>
      </c>
      <c r="D234" t="s">
        <v>77</v>
      </c>
      <c r="E234">
        <v>3</v>
      </c>
      <c r="F234">
        <v>46111</v>
      </c>
      <c r="G234" t="s">
        <v>77</v>
      </c>
      <c r="H234" t="s">
        <v>189</v>
      </c>
      <c r="I234">
        <v>0</v>
      </c>
      <c r="J234">
        <v>0</v>
      </c>
      <c r="K234" t="s">
        <v>27</v>
      </c>
      <c r="L234">
        <v>0</v>
      </c>
      <c r="M234" t="s">
        <v>197</v>
      </c>
      <c r="N234">
        <v>1131</v>
      </c>
    </row>
    <row r="235" spans="1:14">
      <c r="A235">
        <v>24</v>
      </c>
      <c r="B235">
        <v>46190</v>
      </c>
      <c r="C235" t="s">
        <v>19</v>
      </c>
      <c r="D235" t="s">
        <v>77</v>
      </c>
      <c r="E235">
        <v>4</v>
      </c>
      <c r="F235">
        <v>46108</v>
      </c>
      <c r="G235" t="s">
        <v>77</v>
      </c>
      <c r="H235" t="s">
        <v>241</v>
      </c>
      <c r="I235">
        <v>3</v>
      </c>
      <c r="J235">
        <v>1</v>
      </c>
      <c r="K235" t="s">
        <v>171</v>
      </c>
      <c r="L235">
        <v>1</v>
      </c>
      <c r="M235" t="s">
        <v>197</v>
      </c>
      <c r="N235">
        <v>1087</v>
      </c>
    </row>
    <row r="236" spans="1:14">
      <c r="A236">
        <v>24</v>
      </c>
      <c r="B236">
        <v>46190</v>
      </c>
      <c r="C236" t="s">
        <v>19</v>
      </c>
      <c r="D236" t="s">
        <v>77</v>
      </c>
      <c r="E236">
        <v>5</v>
      </c>
      <c r="F236">
        <v>46048</v>
      </c>
      <c r="G236" t="s">
        <v>77</v>
      </c>
      <c r="H236" t="s">
        <v>209</v>
      </c>
      <c r="I236">
        <v>2</v>
      </c>
      <c r="J236">
        <v>2</v>
      </c>
      <c r="K236" t="s">
        <v>27</v>
      </c>
      <c r="L236">
        <v>0</v>
      </c>
      <c r="M236" t="s">
        <v>172</v>
      </c>
      <c r="N236">
        <v>1024</v>
      </c>
    </row>
    <row r="237" spans="1:14">
      <c r="A237">
        <v>24</v>
      </c>
      <c r="B237">
        <v>46190</v>
      </c>
      <c r="C237" t="s">
        <v>24</v>
      </c>
      <c r="D237" t="s">
        <v>78</v>
      </c>
      <c r="E237">
        <v>1</v>
      </c>
      <c r="F237">
        <v>46180</v>
      </c>
      <c r="G237" t="s">
        <v>78</v>
      </c>
      <c r="H237" t="s">
        <v>68</v>
      </c>
      <c r="I237">
        <v>2</v>
      </c>
      <c r="J237">
        <v>0</v>
      </c>
      <c r="K237" t="s">
        <v>171</v>
      </c>
      <c r="L237">
        <v>1</v>
      </c>
      <c r="M237" t="s">
        <v>172</v>
      </c>
      <c r="N237">
        <v>1300</v>
      </c>
    </row>
    <row r="238" spans="1:14">
      <c r="A238">
        <v>24</v>
      </c>
      <c r="B238">
        <v>46190</v>
      </c>
      <c r="C238" t="s">
        <v>24</v>
      </c>
      <c r="D238" t="s">
        <v>78</v>
      </c>
      <c r="E238">
        <v>2</v>
      </c>
      <c r="F238">
        <v>46174</v>
      </c>
      <c r="G238" t="s">
        <v>78</v>
      </c>
      <c r="H238" t="s">
        <v>223</v>
      </c>
      <c r="I238">
        <v>3</v>
      </c>
      <c r="J238">
        <v>1</v>
      </c>
      <c r="K238" t="s">
        <v>171</v>
      </c>
      <c r="L238">
        <v>1</v>
      </c>
      <c r="M238" t="s">
        <v>172</v>
      </c>
      <c r="N238">
        <v>1210</v>
      </c>
    </row>
    <row r="239" spans="1:14">
      <c r="A239">
        <v>24</v>
      </c>
      <c r="B239">
        <v>46190</v>
      </c>
      <c r="C239" t="s">
        <v>24</v>
      </c>
      <c r="D239" t="s">
        <v>78</v>
      </c>
      <c r="E239">
        <v>3</v>
      </c>
      <c r="F239">
        <v>46110</v>
      </c>
      <c r="G239" t="s">
        <v>78</v>
      </c>
      <c r="H239" t="s">
        <v>60</v>
      </c>
      <c r="I239">
        <v>1</v>
      </c>
      <c r="J239">
        <v>3</v>
      </c>
      <c r="K239" t="s">
        <v>69</v>
      </c>
      <c r="L239">
        <v>0</v>
      </c>
      <c r="M239" t="s">
        <v>172</v>
      </c>
      <c r="N239">
        <v>1109</v>
      </c>
    </row>
    <row r="240" spans="1:14">
      <c r="A240">
        <v>24</v>
      </c>
      <c r="B240">
        <v>46190</v>
      </c>
      <c r="C240" t="s">
        <v>24</v>
      </c>
      <c r="D240" t="s">
        <v>78</v>
      </c>
      <c r="E240">
        <v>4</v>
      </c>
      <c r="F240">
        <v>46107</v>
      </c>
      <c r="G240" t="s">
        <v>78</v>
      </c>
      <c r="H240" t="s">
        <v>73</v>
      </c>
      <c r="I240">
        <v>1</v>
      </c>
      <c r="J240">
        <v>2</v>
      </c>
      <c r="K240" t="s">
        <v>69</v>
      </c>
      <c r="L240">
        <v>0</v>
      </c>
      <c r="M240" t="s">
        <v>172</v>
      </c>
      <c r="N240">
        <v>1034</v>
      </c>
    </row>
    <row r="241" spans="1:14">
      <c r="A241">
        <v>24</v>
      </c>
      <c r="B241">
        <v>46190</v>
      </c>
      <c r="C241" t="s">
        <v>24</v>
      </c>
      <c r="D241" t="s">
        <v>78</v>
      </c>
      <c r="E241">
        <v>5</v>
      </c>
      <c r="F241">
        <v>45979</v>
      </c>
      <c r="G241" t="s">
        <v>78</v>
      </c>
      <c r="H241" t="s">
        <v>33</v>
      </c>
      <c r="I241">
        <v>3</v>
      </c>
      <c r="J241">
        <v>0</v>
      </c>
      <c r="K241" t="s">
        <v>171</v>
      </c>
      <c r="L241">
        <v>1</v>
      </c>
      <c r="M241" t="s">
        <v>172</v>
      </c>
      <c r="N241">
        <v>898</v>
      </c>
    </row>
    <row r="242" spans="1:14">
      <c r="A242">
        <v>25</v>
      </c>
      <c r="B242">
        <v>46191</v>
      </c>
      <c r="C242" t="s">
        <v>19</v>
      </c>
      <c r="D242" t="s">
        <v>23</v>
      </c>
      <c r="E242">
        <v>1</v>
      </c>
      <c r="F242">
        <v>46184</v>
      </c>
      <c r="G242" t="s">
        <v>181</v>
      </c>
      <c r="H242" t="s">
        <v>177</v>
      </c>
      <c r="I242">
        <v>1</v>
      </c>
      <c r="J242">
        <v>2</v>
      </c>
      <c r="K242" t="s">
        <v>69</v>
      </c>
      <c r="L242">
        <v>0</v>
      </c>
      <c r="M242" t="s">
        <v>242</v>
      </c>
      <c r="N242">
        <v>1336</v>
      </c>
    </row>
    <row r="243" spans="1:14">
      <c r="A243">
        <v>25</v>
      </c>
      <c r="B243">
        <v>46191</v>
      </c>
      <c r="C243" t="s">
        <v>19</v>
      </c>
      <c r="D243" t="s">
        <v>23</v>
      </c>
      <c r="E243">
        <v>2</v>
      </c>
      <c r="F243">
        <v>46177</v>
      </c>
      <c r="G243" t="s">
        <v>181</v>
      </c>
      <c r="H243" t="s">
        <v>182</v>
      </c>
      <c r="I243">
        <v>5</v>
      </c>
      <c r="J243">
        <v>1</v>
      </c>
      <c r="K243" t="s">
        <v>171</v>
      </c>
      <c r="L243">
        <v>1</v>
      </c>
      <c r="M243" t="s">
        <v>172</v>
      </c>
      <c r="N243">
        <v>1239</v>
      </c>
    </row>
    <row r="244" spans="1:14">
      <c r="A244">
        <v>25</v>
      </c>
      <c r="B244">
        <v>46191</v>
      </c>
      <c r="C244" t="s">
        <v>19</v>
      </c>
      <c r="D244" t="s">
        <v>23</v>
      </c>
      <c r="E244">
        <v>3</v>
      </c>
      <c r="F244">
        <v>46173</v>
      </c>
      <c r="G244" t="s">
        <v>181</v>
      </c>
      <c r="H244" t="s">
        <v>183</v>
      </c>
      <c r="I244">
        <v>2</v>
      </c>
      <c r="J244">
        <v>1</v>
      </c>
      <c r="K244" t="s">
        <v>171</v>
      </c>
      <c r="L244">
        <v>1</v>
      </c>
      <c r="M244" t="s">
        <v>172</v>
      </c>
      <c r="N244">
        <v>1200</v>
      </c>
    </row>
    <row r="245" spans="1:14">
      <c r="A245">
        <v>25</v>
      </c>
      <c r="B245">
        <v>46191</v>
      </c>
      <c r="C245" t="s">
        <v>19</v>
      </c>
      <c r="D245" t="s">
        <v>23</v>
      </c>
      <c r="E245">
        <v>4</v>
      </c>
      <c r="F245">
        <v>46112</v>
      </c>
      <c r="G245" t="s">
        <v>181</v>
      </c>
      <c r="H245" t="s">
        <v>184</v>
      </c>
      <c r="I245">
        <v>2</v>
      </c>
      <c r="J245">
        <v>2</v>
      </c>
      <c r="K245" t="s">
        <v>27</v>
      </c>
      <c r="L245">
        <v>0</v>
      </c>
      <c r="M245" t="s">
        <v>185</v>
      </c>
      <c r="N245">
        <v>1173</v>
      </c>
    </row>
    <row r="246" spans="1:14">
      <c r="A246">
        <v>25</v>
      </c>
      <c r="B246">
        <v>46191</v>
      </c>
      <c r="C246" t="s">
        <v>19</v>
      </c>
      <c r="D246" t="s">
        <v>23</v>
      </c>
      <c r="E246">
        <v>5</v>
      </c>
      <c r="F246">
        <v>46107</v>
      </c>
      <c r="G246" t="s">
        <v>181</v>
      </c>
      <c r="H246" t="s">
        <v>186</v>
      </c>
      <c r="I246">
        <v>2</v>
      </c>
      <c r="J246">
        <v>2</v>
      </c>
      <c r="K246" t="s">
        <v>27</v>
      </c>
      <c r="L246">
        <v>0</v>
      </c>
      <c r="M246" t="s">
        <v>185</v>
      </c>
      <c r="N246">
        <v>1047</v>
      </c>
    </row>
    <row r="247" spans="1:14">
      <c r="A247">
        <v>25</v>
      </c>
      <c r="B247">
        <v>46191</v>
      </c>
      <c r="C247" t="s">
        <v>24</v>
      </c>
      <c r="D247" t="s">
        <v>21</v>
      </c>
      <c r="E247">
        <v>1</v>
      </c>
      <c r="F247">
        <v>46184</v>
      </c>
      <c r="G247" t="s">
        <v>21</v>
      </c>
      <c r="H247" t="s">
        <v>20</v>
      </c>
      <c r="I247">
        <v>0</v>
      </c>
      <c r="J247">
        <v>2</v>
      </c>
      <c r="K247" t="s">
        <v>69</v>
      </c>
      <c r="L247">
        <v>0</v>
      </c>
      <c r="M247" t="s">
        <v>242</v>
      </c>
      <c r="N247">
        <v>1335</v>
      </c>
    </row>
    <row r="248" spans="1:14">
      <c r="A248">
        <v>25</v>
      </c>
      <c r="B248">
        <v>46191</v>
      </c>
      <c r="C248" t="s">
        <v>24</v>
      </c>
      <c r="D248" t="s">
        <v>21</v>
      </c>
      <c r="E248">
        <v>2</v>
      </c>
      <c r="F248">
        <v>46179</v>
      </c>
      <c r="G248" t="s">
        <v>21</v>
      </c>
      <c r="H248" t="s">
        <v>173</v>
      </c>
      <c r="I248">
        <v>1</v>
      </c>
      <c r="J248">
        <v>0</v>
      </c>
      <c r="K248" t="s">
        <v>171</v>
      </c>
      <c r="L248">
        <v>1</v>
      </c>
      <c r="M248" t="s">
        <v>172</v>
      </c>
      <c r="N248">
        <v>1283</v>
      </c>
    </row>
    <row r="249" spans="1:14">
      <c r="A249">
        <v>25</v>
      </c>
      <c r="B249">
        <v>46191</v>
      </c>
      <c r="C249" t="s">
        <v>24</v>
      </c>
      <c r="D249" t="s">
        <v>21</v>
      </c>
      <c r="E249">
        <v>3</v>
      </c>
      <c r="F249">
        <v>46171</v>
      </c>
      <c r="G249" t="s">
        <v>21</v>
      </c>
      <c r="H249" t="s">
        <v>174</v>
      </c>
      <c r="I249">
        <v>0</v>
      </c>
      <c r="J249">
        <v>0</v>
      </c>
      <c r="K249" t="s">
        <v>27</v>
      </c>
      <c r="L249">
        <v>0</v>
      </c>
      <c r="M249" t="s">
        <v>172</v>
      </c>
      <c r="N249">
        <v>1191</v>
      </c>
    </row>
    <row r="250" spans="1:14">
      <c r="A250">
        <v>25</v>
      </c>
      <c r="B250">
        <v>46191</v>
      </c>
      <c r="C250" t="s">
        <v>24</v>
      </c>
      <c r="D250" t="s">
        <v>21</v>
      </c>
      <c r="E250">
        <v>4</v>
      </c>
      <c r="F250">
        <v>46112</v>
      </c>
      <c r="G250" t="s">
        <v>21</v>
      </c>
      <c r="H250" t="s">
        <v>71</v>
      </c>
      <c r="I250">
        <v>1</v>
      </c>
      <c r="J250">
        <v>2</v>
      </c>
      <c r="K250" t="s">
        <v>69</v>
      </c>
      <c r="L250">
        <v>0</v>
      </c>
      <c r="M250" t="s">
        <v>172</v>
      </c>
      <c r="N250">
        <v>1163</v>
      </c>
    </row>
    <row r="251" spans="1:14">
      <c r="A251">
        <v>25</v>
      </c>
      <c r="B251">
        <v>46191</v>
      </c>
      <c r="C251" t="s">
        <v>24</v>
      </c>
      <c r="D251" t="s">
        <v>21</v>
      </c>
      <c r="E251">
        <v>5</v>
      </c>
      <c r="F251">
        <v>46108</v>
      </c>
      <c r="G251" t="s">
        <v>21</v>
      </c>
      <c r="H251" t="s">
        <v>71</v>
      </c>
      <c r="I251">
        <v>1</v>
      </c>
      <c r="J251">
        <v>1</v>
      </c>
      <c r="K251" t="s">
        <v>27</v>
      </c>
      <c r="L251">
        <v>0</v>
      </c>
      <c r="M251" t="s">
        <v>172</v>
      </c>
      <c r="N251">
        <v>1071</v>
      </c>
    </row>
    <row r="252" spans="1:14">
      <c r="A252">
        <v>26</v>
      </c>
      <c r="B252">
        <v>46191</v>
      </c>
      <c r="C252" t="s">
        <v>19</v>
      </c>
      <c r="D252" t="s">
        <v>38</v>
      </c>
      <c r="E252">
        <v>1</v>
      </c>
      <c r="F252">
        <v>46186</v>
      </c>
      <c r="G252" t="s">
        <v>38</v>
      </c>
      <c r="H252" t="s">
        <v>37</v>
      </c>
      <c r="I252">
        <v>1</v>
      </c>
      <c r="J252">
        <v>1</v>
      </c>
      <c r="K252" t="s">
        <v>27</v>
      </c>
      <c r="L252">
        <v>0</v>
      </c>
      <c r="M252" t="s">
        <v>242</v>
      </c>
      <c r="N252">
        <v>1339</v>
      </c>
    </row>
    <row r="253" spans="1:14">
      <c r="A253">
        <v>26</v>
      </c>
      <c r="B253">
        <v>46191</v>
      </c>
      <c r="C253" t="s">
        <v>19</v>
      </c>
      <c r="D253" t="s">
        <v>38</v>
      </c>
      <c r="E253">
        <v>2</v>
      </c>
      <c r="F253">
        <v>46179</v>
      </c>
      <c r="G253" t="s">
        <v>38</v>
      </c>
      <c r="H253" t="s">
        <v>33</v>
      </c>
      <c r="I253">
        <v>1</v>
      </c>
      <c r="J253">
        <v>1</v>
      </c>
      <c r="K253" t="s">
        <v>27</v>
      </c>
      <c r="L253">
        <v>0</v>
      </c>
      <c r="M253" t="s">
        <v>172</v>
      </c>
      <c r="N253">
        <v>1274</v>
      </c>
    </row>
    <row r="254" spans="1:14">
      <c r="A254">
        <v>26</v>
      </c>
      <c r="B254">
        <v>46191</v>
      </c>
      <c r="C254" t="s">
        <v>19</v>
      </c>
      <c r="D254" t="s">
        <v>38</v>
      </c>
      <c r="E254">
        <v>3</v>
      </c>
      <c r="F254">
        <v>46173</v>
      </c>
      <c r="G254" t="s">
        <v>38</v>
      </c>
      <c r="H254" t="s">
        <v>68</v>
      </c>
      <c r="I254">
        <v>4</v>
      </c>
      <c r="J254">
        <v>1</v>
      </c>
      <c r="K254" t="s">
        <v>171</v>
      </c>
      <c r="L254">
        <v>1</v>
      </c>
      <c r="M254" t="s">
        <v>172</v>
      </c>
      <c r="N254">
        <v>1204</v>
      </c>
    </row>
    <row r="255" spans="1:14">
      <c r="A255">
        <v>26</v>
      </c>
      <c r="B255">
        <v>46191</v>
      </c>
      <c r="C255" t="s">
        <v>19</v>
      </c>
      <c r="D255" t="s">
        <v>38</v>
      </c>
      <c r="E255">
        <v>4</v>
      </c>
      <c r="F255">
        <v>46112</v>
      </c>
      <c r="G255" t="s">
        <v>38</v>
      </c>
      <c r="H255" t="s">
        <v>63</v>
      </c>
      <c r="I255">
        <v>0</v>
      </c>
      <c r="J255">
        <v>0</v>
      </c>
      <c r="K255" t="s">
        <v>27</v>
      </c>
      <c r="L255">
        <v>0</v>
      </c>
      <c r="M255" t="s">
        <v>172</v>
      </c>
      <c r="N255">
        <v>1155</v>
      </c>
    </row>
    <row r="256" spans="1:14">
      <c r="A256">
        <v>26</v>
      </c>
      <c r="B256">
        <v>46191</v>
      </c>
      <c r="C256" t="s">
        <v>19</v>
      </c>
      <c r="D256" t="s">
        <v>38</v>
      </c>
      <c r="E256">
        <v>5</v>
      </c>
      <c r="F256">
        <v>46108</v>
      </c>
      <c r="G256" t="s">
        <v>38</v>
      </c>
      <c r="H256" t="s">
        <v>42</v>
      </c>
      <c r="I256">
        <v>3</v>
      </c>
      <c r="J256">
        <v>4</v>
      </c>
      <c r="K256" t="s">
        <v>69</v>
      </c>
      <c r="L256">
        <v>0</v>
      </c>
      <c r="M256" t="s">
        <v>172</v>
      </c>
      <c r="N256">
        <v>1074</v>
      </c>
    </row>
    <row r="257" spans="1:14">
      <c r="A257">
        <v>26</v>
      </c>
      <c r="B257">
        <v>46191</v>
      </c>
      <c r="C257" t="s">
        <v>24</v>
      </c>
      <c r="D257" t="s">
        <v>26</v>
      </c>
      <c r="E257">
        <v>1</v>
      </c>
      <c r="F257">
        <v>46185</v>
      </c>
      <c r="G257" t="s">
        <v>26</v>
      </c>
      <c r="H257" t="s">
        <v>25</v>
      </c>
      <c r="I257">
        <v>1</v>
      </c>
      <c r="J257">
        <v>1</v>
      </c>
      <c r="K257" t="s">
        <v>27</v>
      </c>
      <c r="L257">
        <v>0</v>
      </c>
      <c r="M257" t="s">
        <v>242</v>
      </c>
      <c r="N257">
        <v>1337</v>
      </c>
    </row>
    <row r="258" spans="1:14">
      <c r="A258">
        <v>26</v>
      </c>
      <c r="B258">
        <v>46191</v>
      </c>
      <c r="C258" t="s">
        <v>24</v>
      </c>
      <c r="D258" t="s">
        <v>26</v>
      </c>
      <c r="E258">
        <v>2</v>
      </c>
      <c r="F258">
        <v>46179</v>
      </c>
      <c r="G258" t="s">
        <v>26</v>
      </c>
      <c r="H258" t="s">
        <v>71</v>
      </c>
      <c r="I258">
        <v>1</v>
      </c>
      <c r="J258">
        <v>1</v>
      </c>
      <c r="K258" t="s">
        <v>27</v>
      </c>
      <c r="L258">
        <v>0</v>
      </c>
      <c r="M258" t="s">
        <v>172</v>
      </c>
      <c r="N258">
        <v>1285</v>
      </c>
    </row>
    <row r="259" spans="1:14">
      <c r="A259">
        <v>26</v>
      </c>
      <c r="B259">
        <v>46191</v>
      </c>
      <c r="C259" t="s">
        <v>24</v>
      </c>
      <c r="D259" t="s">
        <v>26</v>
      </c>
      <c r="E259">
        <v>3</v>
      </c>
      <c r="F259">
        <v>46171</v>
      </c>
      <c r="G259" t="s">
        <v>26</v>
      </c>
      <c r="H259" t="s">
        <v>190</v>
      </c>
      <c r="I259">
        <v>0</v>
      </c>
      <c r="J259">
        <v>0</v>
      </c>
      <c r="K259" t="s">
        <v>27</v>
      </c>
      <c r="L259">
        <v>0</v>
      </c>
      <c r="M259" t="s">
        <v>172</v>
      </c>
      <c r="N259">
        <v>1189</v>
      </c>
    </row>
    <row r="260" spans="1:14">
      <c r="A260">
        <v>26</v>
      </c>
      <c r="B260">
        <v>46191</v>
      </c>
      <c r="C260" t="s">
        <v>24</v>
      </c>
      <c r="D260" t="s">
        <v>26</v>
      </c>
      <c r="E260">
        <v>4</v>
      </c>
      <c r="F260">
        <v>46112</v>
      </c>
      <c r="G260" t="s">
        <v>26</v>
      </c>
      <c r="H260" t="s">
        <v>191</v>
      </c>
      <c r="I260">
        <v>1</v>
      </c>
      <c r="J260">
        <v>1</v>
      </c>
      <c r="K260" t="s">
        <v>27</v>
      </c>
      <c r="L260">
        <v>0</v>
      </c>
      <c r="M260" t="s">
        <v>185</v>
      </c>
      <c r="N260">
        <v>1170</v>
      </c>
    </row>
    <row r="261" spans="1:14">
      <c r="A261">
        <v>26</v>
      </c>
      <c r="B261">
        <v>46191</v>
      </c>
      <c r="C261" t="s">
        <v>24</v>
      </c>
      <c r="D261" t="s">
        <v>26</v>
      </c>
      <c r="E261">
        <v>5</v>
      </c>
      <c r="F261">
        <v>46107</v>
      </c>
      <c r="G261" t="s">
        <v>26</v>
      </c>
      <c r="H261" t="s">
        <v>192</v>
      </c>
      <c r="I261">
        <v>1</v>
      </c>
      <c r="J261">
        <v>1</v>
      </c>
      <c r="K261" t="s">
        <v>27</v>
      </c>
      <c r="L261">
        <v>0</v>
      </c>
      <c r="M261" t="s">
        <v>185</v>
      </c>
      <c r="N261">
        <v>1042</v>
      </c>
    </row>
    <row r="262" spans="1:14">
      <c r="A262">
        <v>27</v>
      </c>
      <c r="B262">
        <v>46191</v>
      </c>
      <c r="C262" t="s">
        <v>19</v>
      </c>
      <c r="D262" t="s">
        <v>25</v>
      </c>
      <c r="E262">
        <v>1</v>
      </c>
      <c r="F262">
        <v>46185</v>
      </c>
      <c r="G262" t="s">
        <v>25</v>
      </c>
      <c r="H262" t="s">
        <v>26</v>
      </c>
      <c r="I262">
        <v>1</v>
      </c>
      <c r="J262">
        <v>1</v>
      </c>
      <c r="K262" t="s">
        <v>27</v>
      </c>
      <c r="L262">
        <v>0</v>
      </c>
      <c r="M262" t="s">
        <v>242</v>
      </c>
      <c r="N262">
        <v>1337</v>
      </c>
    </row>
    <row r="263" spans="1:14">
      <c r="A263">
        <v>27</v>
      </c>
      <c r="B263">
        <v>46191</v>
      </c>
      <c r="C263" t="s">
        <v>19</v>
      </c>
      <c r="D263" t="s">
        <v>25</v>
      </c>
      <c r="E263">
        <v>2</v>
      </c>
      <c r="F263">
        <v>46178</v>
      </c>
      <c r="G263" t="s">
        <v>25</v>
      </c>
      <c r="H263" t="s">
        <v>186</v>
      </c>
      <c r="I263">
        <v>1</v>
      </c>
      <c r="J263">
        <v>1</v>
      </c>
      <c r="K263" t="s">
        <v>27</v>
      </c>
      <c r="L263">
        <v>0</v>
      </c>
      <c r="M263" t="s">
        <v>172</v>
      </c>
      <c r="N263">
        <v>1250</v>
      </c>
    </row>
    <row r="264" spans="1:14">
      <c r="A264">
        <v>27</v>
      </c>
      <c r="B264">
        <v>46191</v>
      </c>
      <c r="C264" t="s">
        <v>19</v>
      </c>
      <c r="D264" t="s">
        <v>25</v>
      </c>
      <c r="E264">
        <v>3</v>
      </c>
      <c r="F264">
        <v>46174</v>
      </c>
      <c r="G264" t="s">
        <v>25</v>
      </c>
      <c r="H264" t="s">
        <v>77</v>
      </c>
      <c r="I264">
        <v>2</v>
      </c>
      <c r="J264">
        <v>0</v>
      </c>
      <c r="K264" t="s">
        <v>171</v>
      </c>
      <c r="L264">
        <v>1</v>
      </c>
      <c r="M264" t="s">
        <v>172</v>
      </c>
      <c r="N264">
        <v>1209</v>
      </c>
    </row>
    <row r="265" spans="1:14">
      <c r="A265">
        <v>27</v>
      </c>
      <c r="B265">
        <v>46191</v>
      </c>
      <c r="C265" t="s">
        <v>19</v>
      </c>
      <c r="D265" t="s">
        <v>25</v>
      </c>
      <c r="E265">
        <v>4</v>
      </c>
      <c r="F265">
        <v>46112</v>
      </c>
      <c r="G265" t="s">
        <v>25</v>
      </c>
      <c r="H265" t="s">
        <v>48</v>
      </c>
      <c r="I265">
        <v>0</v>
      </c>
      <c r="J265">
        <v>0</v>
      </c>
      <c r="K265" t="s">
        <v>27</v>
      </c>
      <c r="L265">
        <v>0</v>
      </c>
      <c r="M265" t="s">
        <v>172</v>
      </c>
      <c r="N265">
        <v>1140</v>
      </c>
    </row>
    <row r="266" spans="1:14">
      <c r="A266">
        <v>27</v>
      </c>
      <c r="B266">
        <v>46191</v>
      </c>
      <c r="C266" t="s">
        <v>19</v>
      </c>
      <c r="D266" t="s">
        <v>25</v>
      </c>
      <c r="E266">
        <v>5</v>
      </c>
      <c r="F266">
        <v>46109</v>
      </c>
      <c r="G266" t="s">
        <v>25</v>
      </c>
      <c r="H266" t="s">
        <v>188</v>
      </c>
      <c r="I266">
        <v>2</v>
      </c>
      <c r="J266">
        <v>2</v>
      </c>
      <c r="K266" t="s">
        <v>27</v>
      </c>
      <c r="L266">
        <v>0</v>
      </c>
      <c r="M266" t="s">
        <v>172</v>
      </c>
      <c r="N266">
        <v>1094</v>
      </c>
    </row>
    <row r="267" spans="1:14">
      <c r="A267">
        <v>27</v>
      </c>
      <c r="B267">
        <v>46191</v>
      </c>
      <c r="C267" t="s">
        <v>24</v>
      </c>
      <c r="D267" t="s">
        <v>37</v>
      </c>
      <c r="E267">
        <v>1</v>
      </c>
      <c r="F267">
        <v>46186</v>
      </c>
      <c r="G267" t="s">
        <v>37</v>
      </c>
      <c r="H267" t="s">
        <v>38</v>
      </c>
      <c r="I267">
        <v>1</v>
      </c>
      <c r="J267">
        <v>1</v>
      </c>
      <c r="K267" t="s">
        <v>27</v>
      </c>
      <c r="L267">
        <v>0</v>
      </c>
      <c r="M267" t="s">
        <v>242</v>
      </c>
      <c r="N267">
        <v>1339</v>
      </c>
    </row>
    <row r="268" spans="1:14">
      <c r="A268">
        <v>27</v>
      </c>
      <c r="B268">
        <v>46191</v>
      </c>
      <c r="C268" t="s">
        <v>24</v>
      </c>
      <c r="D268" t="s">
        <v>37</v>
      </c>
      <c r="E268">
        <v>2</v>
      </c>
      <c r="F268">
        <v>46179</v>
      </c>
      <c r="G268" t="s">
        <v>37</v>
      </c>
      <c r="H268" t="s">
        <v>178</v>
      </c>
      <c r="I268">
        <v>0</v>
      </c>
      <c r="J268">
        <v>0</v>
      </c>
      <c r="K268" t="s">
        <v>27</v>
      </c>
      <c r="L268">
        <v>0</v>
      </c>
      <c r="M268" t="s">
        <v>172</v>
      </c>
      <c r="N268">
        <v>1287</v>
      </c>
    </row>
    <row r="269" spans="1:14">
      <c r="A269">
        <v>27</v>
      </c>
      <c r="B269">
        <v>46191</v>
      </c>
      <c r="C269" t="s">
        <v>24</v>
      </c>
      <c r="D269" t="s">
        <v>37</v>
      </c>
      <c r="E269">
        <v>3</v>
      </c>
      <c r="F269">
        <v>46170</v>
      </c>
      <c r="G269" t="s">
        <v>37</v>
      </c>
      <c r="H269" t="s">
        <v>186</v>
      </c>
      <c r="I269">
        <v>0</v>
      </c>
      <c r="J269">
        <v>1</v>
      </c>
      <c r="K269" t="s">
        <v>69</v>
      </c>
      <c r="L269">
        <v>0</v>
      </c>
      <c r="M269" t="s">
        <v>172</v>
      </c>
      <c r="N269">
        <v>1186</v>
      </c>
    </row>
    <row r="270" spans="1:14">
      <c r="A270">
        <v>27</v>
      </c>
      <c r="B270">
        <v>46191</v>
      </c>
      <c r="C270" t="s">
        <v>24</v>
      </c>
      <c r="D270" t="s">
        <v>37</v>
      </c>
      <c r="E270">
        <v>4</v>
      </c>
      <c r="F270">
        <v>45998</v>
      </c>
      <c r="G270" t="s">
        <v>37</v>
      </c>
      <c r="H270" t="s">
        <v>48</v>
      </c>
      <c r="I270">
        <v>0</v>
      </c>
      <c r="J270">
        <v>3</v>
      </c>
      <c r="K270" t="s">
        <v>69</v>
      </c>
      <c r="L270">
        <v>0</v>
      </c>
      <c r="M270" t="s">
        <v>202</v>
      </c>
      <c r="N270">
        <v>953</v>
      </c>
    </row>
    <row r="271" spans="1:14">
      <c r="A271">
        <v>27</v>
      </c>
      <c r="B271">
        <v>46191</v>
      </c>
      <c r="C271" t="s">
        <v>24</v>
      </c>
      <c r="D271" t="s">
        <v>37</v>
      </c>
      <c r="E271">
        <v>5</v>
      </c>
      <c r="F271">
        <v>45995</v>
      </c>
      <c r="G271" t="s">
        <v>37</v>
      </c>
      <c r="H271" t="s">
        <v>203</v>
      </c>
      <c r="I271">
        <v>1</v>
      </c>
      <c r="J271">
        <v>1</v>
      </c>
      <c r="K271" t="s">
        <v>27</v>
      </c>
      <c r="L271">
        <v>0</v>
      </c>
      <c r="M271" t="s">
        <v>202</v>
      </c>
      <c r="N271">
        <v>946</v>
      </c>
    </row>
    <row r="272" spans="1:14">
      <c r="A272">
        <v>28</v>
      </c>
      <c r="B272">
        <v>46191</v>
      </c>
      <c r="C272" t="s">
        <v>19</v>
      </c>
      <c r="D272" t="s">
        <v>20</v>
      </c>
      <c r="E272">
        <v>1</v>
      </c>
      <c r="F272">
        <v>46184</v>
      </c>
      <c r="G272" t="s">
        <v>20</v>
      </c>
      <c r="H272" t="s">
        <v>21</v>
      </c>
      <c r="I272">
        <v>2</v>
      </c>
      <c r="J272">
        <v>0</v>
      </c>
      <c r="K272" t="s">
        <v>171</v>
      </c>
      <c r="L272">
        <v>1</v>
      </c>
      <c r="M272" t="s">
        <v>242</v>
      </c>
      <c r="N272">
        <v>1335</v>
      </c>
    </row>
    <row r="273" spans="1:14">
      <c r="A273">
        <v>28</v>
      </c>
      <c r="B273">
        <v>46191</v>
      </c>
      <c r="C273" t="s">
        <v>19</v>
      </c>
      <c r="D273" t="s">
        <v>20</v>
      </c>
      <c r="E273">
        <v>2</v>
      </c>
      <c r="F273">
        <v>46177</v>
      </c>
      <c r="G273" t="s">
        <v>20</v>
      </c>
      <c r="H273" t="s">
        <v>170</v>
      </c>
      <c r="I273">
        <v>5</v>
      </c>
      <c r="J273">
        <v>1</v>
      </c>
      <c r="K273" t="s">
        <v>171</v>
      </c>
      <c r="L273">
        <v>1</v>
      </c>
      <c r="M273" t="s">
        <v>172</v>
      </c>
      <c r="N273">
        <v>1242</v>
      </c>
    </row>
    <row r="274" spans="1:14">
      <c r="A274">
        <v>28</v>
      </c>
      <c r="B274">
        <v>46191</v>
      </c>
      <c r="C274" t="s">
        <v>19</v>
      </c>
      <c r="D274" t="s">
        <v>20</v>
      </c>
      <c r="E274">
        <v>3</v>
      </c>
      <c r="F274">
        <v>46172</v>
      </c>
      <c r="G274" t="s">
        <v>20</v>
      </c>
      <c r="H274" t="s">
        <v>33</v>
      </c>
      <c r="I274">
        <v>1</v>
      </c>
      <c r="J274">
        <v>0</v>
      </c>
      <c r="K274" t="s">
        <v>171</v>
      </c>
      <c r="L274">
        <v>1</v>
      </c>
      <c r="M274" t="s">
        <v>172</v>
      </c>
      <c r="N274">
        <v>1194</v>
      </c>
    </row>
    <row r="275" spans="1:14">
      <c r="A275">
        <v>28</v>
      </c>
      <c r="B275">
        <v>46191</v>
      </c>
      <c r="C275" t="s">
        <v>19</v>
      </c>
      <c r="D275" t="s">
        <v>20</v>
      </c>
      <c r="E275">
        <v>4</v>
      </c>
      <c r="F275">
        <v>46164</v>
      </c>
      <c r="G275" t="s">
        <v>20</v>
      </c>
      <c r="H275" t="s">
        <v>70</v>
      </c>
      <c r="I275">
        <v>2</v>
      </c>
      <c r="J275">
        <v>0</v>
      </c>
      <c r="K275" t="s">
        <v>171</v>
      </c>
      <c r="L275">
        <v>1</v>
      </c>
      <c r="M275" t="s">
        <v>172</v>
      </c>
      <c r="N275">
        <v>1182</v>
      </c>
    </row>
    <row r="276" spans="1:14">
      <c r="A276">
        <v>28</v>
      </c>
      <c r="B276">
        <v>46191</v>
      </c>
      <c r="C276" t="s">
        <v>19</v>
      </c>
      <c r="D276" t="s">
        <v>20</v>
      </c>
      <c r="E276">
        <v>5</v>
      </c>
      <c r="F276">
        <v>46112</v>
      </c>
      <c r="G276" t="s">
        <v>20</v>
      </c>
      <c r="H276" t="s">
        <v>57</v>
      </c>
      <c r="I276">
        <v>1</v>
      </c>
      <c r="J276">
        <v>1</v>
      </c>
      <c r="K276" t="s">
        <v>27</v>
      </c>
      <c r="L276">
        <v>0</v>
      </c>
      <c r="M276" t="s">
        <v>172</v>
      </c>
      <c r="N276">
        <v>1150</v>
      </c>
    </row>
    <row r="277" spans="1:14">
      <c r="A277">
        <v>28</v>
      </c>
      <c r="B277">
        <v>46191</v>
      </c>
      <c r="C277" t="s">
        <v>24</v>
      </c>
      <c r="D277" t="s">
        <v>22</v>
      </c>
      <c r="E277">
        <v>1</v>
      </c>
      <c r="F277">
        <v>46184</v>
      </c>
      <c r="G277" t="s">
        <v>177</v>
      </c>
      <c r="H277" t="s">
        <v>181</v>
      </c>
      <c r="I277">
        <v>2</v>
      </c>
      <c r="J277">
        <v>1</v>
      </c>
      <c r="K277" t="s">
        <v>171</v>
      </c>
      <c r="L277">
        <v>1</v>
      </c>
      <c r="M277" t="s">
        <v>242</v>
      </c>
      <c r="N277">
        <v>1336</v>
      </c>
    </row>
    <row r="278" spans="1:14">
      <c r="A278">
        <v>28</v>
      </c>
      <c r="B278">
        <v>46191</v>
      </c>
      <c r="C278" t="s">
        <v>24</v>
      </c>
      <c r="D278" t="s">
        <v>22</v>
      </c>
      <c r="E278">
        <v>2</v>
      </c>
      <c r="F278">
        <v>46176</v>
      </c>
      <c r="G278" t="s">
        <v>177</v>
      </c>
      <c r="H278" t="s">
        <v>178</v>
      </c>
      <c r="I278">
        <v>1</v>
      </c>
      <c r="J278">
        <v>0</v>
      </c>
      <c r="K278" t="s">
        <v>171</v>
      </c>
      <c r="L278">
        <v>1</v>
      </c>
      <c r="M278" t="s">
        <v>172</v>
      </c>
      <c r="N278">
        <v>1227</v>
      </c>
    </row>
    <row r="279" spans="1:14">
      <c r="A279">
        <v>28</v>
      </c>
      <c r="B279">
        <v>46191</v>
      </c>
      <c r="C279" t="s">
        <v>24</v>
      </c>
      <c r="D279" t="s">
        <v>22</v>
      </c>
      <c r="E279">
        <v>3</v>
      </c>
      <c r="F279">
        <v>46172</v>
      </c>
      <c r="G279" t="s">
        <v>177</v>
      </c>
      <c r="H279" t="s">
        <v>179</v>
      </c>
      <c r="I279">
        <v>5</v>
      </c>
      <c r="J279">
        <v>0</v>
      </c>
      <c r="K279" t="s">
        <v>171</v>
      </c>
      <c r="L279">
        <v>1</v>
      </c>
      <c r="M279" t="s">
        <v>172</v>
      </c>
      <c r="N279">
        <v>1193</v>
      </c>
    </row>
    <row r="280" spans="1:14">
      <c r="A280">
        <v>28</v>
      </c>
      <c r="B280">
        <v>46191</v>
      </c>
      <c r="C280" t="s">
        <v>24</v>
      </c>
      <c r="D280" t="s">
        <v>22</v>
      </c>
      <c r="E280">
        <v>4</v>
      </c>
      <c r="F280">
        <v>46112</v>
      </c>
      <c r="G280" t="s">
        <v>177</v>
      </c>
      <c r="H280" t="s">
        <v>67</v>
      </c>
      <c r="I280">
        <v>0</v>
      </c>
      <c r="J280">
        <v>1</v>
      </c>
      <c r="K280" t="s">
        <v>69</v>
      </c>
      <c r="L280">
        <v>0</v>
      </c>
      <c r="M280" t="s">
        <v>172</v>
      </c>
      <c r="N280">
        <v>1136</v>
      </c>
    </row>
    <row r="281" spans="1:14">
      <c r="A281">
        <v>28</v>
      </c>
      <c r="B281">
        <v>46191</v>
      </c>
      <c r="C281" t="s">
        <v>24</v>
      </c>
      <c r="D281" t="s">
        <v>22</v>
      </c>
      <c r="E281">
        <v>5</v>
      </c>
      <c r="F281">
        <v>46109</v>
      </c>
      <c r="G281" t="s">
        <v>177</v>
      </c>
      <c r="H281" t="s">
        <v>180</v>
      </c>
      <c r="I281">
        <v>0</v>
      </c>
      <c r="J281">
        <v>4</v>
      </c>
      <c r="K281" t="s">
        <v>69</v>
      </c>
      <c r="L281">
        <v>0</v>
      </c>
      <c r="M281" t="s">
        <v>172</v>
      </c>
      <c r="N281">
        <v>1097</v>
      </c>
    </row>
    <row r="282" spans="1:14">
      <c r="A282">
        <v>29</v>
      </c>
      <c r="B282">
        <v>46192</v>
      </c>
      <c r="C282" t="s">
        <v>19</v>
      </c>
      <c r="D282" t="s">
        <v>35</v>
      </c>
      <c r="E282">
        <v>1</v>
      </c>
      <c r="F282">
        <v>46186</v>
      </c>
      <c r="G282" t="s">
        <v>35</v>
      </c>
      <c r="H282" t="s">
        <v>36</v>
      </c>
      <c r="I282">
        <v>1</v>
      </c>
      <c r="J282">
        <v>1</v>
      </c>
      <c r="K282" t="s">
        <v>27</v>
      </c>
      <c r="L282">
        <v>0</v>
      </c>
      <c r="M282" t="s">
        <v>242</v>
      </c>
      <c r="N282">
        <v>1340</v>
      </c>
    </row>
    <row r="283" spans="1:14">
      <c r="A283">
        <v>29</v>
      </c>
      <c r="B283">
        <v>46192</v>
      </c>
      <c r="C283" t="s">
        <v>19</v>
      </c>
      <c r="D283" t="s">
        <v>35</v>
      </c>
      <c r="E283">
        <v>2</v>
      </c>
      <c r="F283">
        <v>46179</v>
      </c>
      <c r="G283" t="s">
        <v>35</v>
      </c>
      <c r="H283" t="s">
        <v>58</v>
      </c>
      <c r="I283">
        <v>2</v>
      </c>
      <c r="J283">
        <v>1</v>
      </c>
      <c r="K283" t="s">
        <v>171</v>
      </c>
      <c r="L283">
        <v>1</v>
      </c>
      <c r="M283" t="s">
        <v>172</v>
      </c>
      <c r="N283">
        <v>1278</v>
      </c>
    </row>
    <row r="284" spans="1:14">
      <c r="A284">
        <v>29</v>
      </c>
      <c r="B284">
        <v>46192</v>
      </c>
      <c r="C284" t="s">
        <v>19</v>
      </c>
      <c r="D284" t="s">
        <v>35</v>
      </c>
      <c r="E284">
        <v>3</v>
      </c>
      <c r="F284">
        <v>46173</v>
      </c>
      <c r="G284" t="s">
        <v>35</v>
      </c>
      <c r="H284" t="s">
        <v>71</v>
      </c>
      <c r="I284">
        <v>6</v>
      </c>
      <c r="J284">
        <v>2</v>
      </c>
      <c r="K284" t="s">
        <v>171</v>
      </c>
      <c r="L284">
        <v>1</v>
      </c>
      <c r="M284" t="s">
        <v>172</v>
      </c>
      <c r="N284">
        <v>1198</v>
      </c>
    </row>
    <row r="285" spans="1:14">
      <c r="A285">
        <v>29</v>
      </c>
      <c r="B285">
        <v>46192</v>
      </c>
      <c r="C285" t="s">
        <v>19</v>
      </c>
      <c r="D285" t="s">
        <v>35</v>
      </c>
      <c r="E285">
        <v>4</v>
      </c>
      <c r="F285">
        <v>46112</v>
      </c>
      <c r="G285" t="s">
        <v>35</v>
      </c>
      <c r="H285" t="s">
        <v>73</v>
      </c>
      <c r="I285">
        <v>3</v>
      </c>
      <c r="J285">
        <v>1</v>
      </c>
      <c r="K285" t="s">
        <v>171</v>
      </c>
      <c r="L285">
        <v>1</v>
      </c>
      <c r="M285" t="s">
        <v>172</v>
      </c>
      <c r="N285">
        <v>1138</v>
      </c>
    </row>
    <row r="286" spans="1:14">
      <c r="A286">
        <v>29</v>
      </c>
      <c r="B286">
        <v>46192</v>
      </c>
      <c r="C286" t="s">
        <v>19</v>
      </c>
      <c r="D286" t="s">
        <v>35</v>
      </c>
      <c r="E286">
        <v>5</v>
      </c>
      <c r="F286">
        <v>46107</v>
      </c>
      <c r="G286" t="s">
        <v>35</v>
      </c>
      <c r="H286" t="s">
        <v>60</v>
      </c>
      <c r="I286">
        <v>1</v>
      </c>
      <c r="J286">
        <v>2</v>
      </c>
      <c r="K286" t="s">
        <v>69</v>
      </c>
      <c r="L286">
        <v>0</v>
      </c>
      <c r="M286" t="s">
        <v>172</v>
      </c>
      <c r="N286">
        <v>1033</v>
      </c>
    </row>
    <row r="287" spans="1:14">
      <c r="A287">
        <v>29</v>
      </c>
      <c r="B287">
        <v>46192</v>
      </c>
      <c r="C287" t="s">
        <v>24</v>
      </c>
      <c r="D287" t="s">
        <v>31</v>
      </c>
      <c r="E287">
        <v>1</v>
      </c>
      <c r="F287">
        <v>46186</v>
      </c>
      <c r="G287" t="s">
        <v>31</v>
      </c>
      <c r="H287" t="s">
        <v>32</v>
      </c>
      <c r="I287">
        <v>0</v>
      </c>
      <c r="J287">
        <v>1</v>
      </c>
      <c r="K287" t="s">
        <v>69</v>
      </c>
      <c r="L287">
        <v>0</v>
      </c>
      <c r="M287" t="s">
        <v>242</v>
      </c>
      <c r="N287">
        <v>1341</v>
      </c>
    </row>
    <row r="288" spans="1:14">
      <c r="A288">
        <v>29</v>
      </c>
      <c r="B288">
        <v>46192</v>
      </c>
      <c r="C288" t="s">
        <v>24</v>
      </c>
      <c r="D288" t="s">
        <v>31</v>
      </c>
      <c r="E288">
        <v>2</v>
      </c>
      <c r="F288">
        <v>46178</v>
      </c>
      <c r="G288" t="s">
        <v>31</v>
      </c>
      <c r="H288" t="s">
        <v>195</v>
      </c>
      <c r="I288">
        <v>1</v>
      </c>
      <c r="J288">
        <v>2</v>
      </c>
      <c r="K288" t="s">
        <v>69</v>
      </c>
      <c r="L288">
        <v>0</v>
      </c>
      <c r="M288" t="s">
        <v>172</v>
      </c>
      <c r="N288">
        <v>1252</v>
      </c>
    </row>
    <row r="289" spans="1:14">
      <c r="A289">
        <v>29</v>
      </c>
      <c r="B289">
        <v>46192</v>
      </c>
      <c r="C289" t="s">
        <v>24</v>
      </c>
      <c r="D289" t="s">
        <v>31</v>
      </c>
      <c r="E289">
        <v>3</v>
      </c>
      <c r="F289">
        <v>46175</v>
      </c>
      <c r="G289" t="s">
        <v>31</v>
      </c>
      <c r="H289" t="s">
        <v>56</v>
      </c>
      <c r="I289">
        <v>4</v>
      </c>
      <c r="J289">
        <v>0</v>
      </c>
      <c r="K289" t="s">
        <v>171</v>
      </c>
      <c r="L289">
        <v>1</v>
      </c>
      <c r="M289" t="s">
        <v>172</v>
      </c>
      <c r="N289">
        <v>1217</v>
      </c>
    </row>
    <row r="290" spans="1:14">
      <c r="A290">
        <v>29</v>
      </c>
      <c r="B290">
        <v>46192</v>
      </c>
      <c r="C290" t="s">
        <v>24</v>
      </c>
      <c r="D290" t="s">
        <v>31</v>
      </c>
      <c r="E290">
        <v>4</v>
      </c>
      <c r="F290">
        <v>46112</v>
      </c>
      <c r="G290" t="s">
        <v>31</v>
      </c>
      <c r="H290" t="s">
        <v>188</v>
      </c>
      <c r="I290">
        <v>1</v>
      </c>
      <c r="J290">
        <v>1</v>
      </c>
      <c r="K290" t="s">
        <v>27</v>
      </c>
      <c r="L290">
        <v>0</v>
      </c>
      <c r="M290" t="s">
        <v>172</v>
      </c>
      <c r="N290">
        <v>1144</v>
      </c>
    </row>
    <row r="291" spans="1:14">
      <c r="A291">
        <v>29</v>
      </c>
      <c r="B291">
        <v>46192</v>
      </c>
      <c r="C291" t="s">
        <v>24</v>
      </c>
      <c r="D291" t="s">
        <v>31</v>
      </c>
      <c r="E291">
        <v>5</v>
      </c>
      <c r="F291">
        <v>46109</v>
      </c>
      <c r="G291" t="s">
        <v>31</v>
      </c>
      <c r="H291" t="s">
        <v>48</v>
      </c>
      <c r="I291">
        <v>0</v>
      </c>
      <c r="J291">
        <v>1</v>
      </c>
      <c r="K291" t="s">
        <v>69</v>
      </c>
      <c r="L291">
        <v>0</v>
      </c>
      <c r="M291" t="s">
        <v>172</v>
      </c>
      <c r="N291">
        <v>1095</v>
      </c>
    </row>
    <row r="292" spans="1:14">
      <c r="A292">
        <v>30</v>
      </c>
      <c r="B292">
        <v>46192</v>
      </c>
      <c r="C292" t="s">
        <v>19</v>
      </c>
      <c r="D292" t="s">
        <v>32</v>
      </c>
      <c r="E292">
        <v>1</v>
      </c>
      <c r="F292">
        <v>46186</v>
      </c>
      <c r="G292" t="s">
        <v>32</v>
      </c>
      <c r="H292" t="s">
        <v>31</v>
      </c>
      <c r="I292">
        <v>1</v>
      </c>
      <c r="J292">
        <v>0</v>
      </c>
      <c r="K292" t="s">
        <v>171</v>
      </c>
      <c r="L292">
        <v>1</v>
      </c>
      <c r="M292" t="s">
        <v>242</v>
      </c>
      <c r="N292">
        <v>1341</v>
      </c>
    </row>
    <row r="293" spans="1:14">
      <c r="A293">
        <v>30</v>
      </c>
      <c r="B293">
        <v>46192</v>
      </c>
      <c r="C293" t="s">
        <v>19</v>
      </c>
      <c r="D293" t="s">
        <v>32</v>
      </c>
      <c r="E293">
        <v>2</v>
      </c>
      <c r="F293">
        <v>46179</v>
      </c>
      <c r="G293" t="s">
        <v>32</v>
      </c>
      <c r="H293" t="s">
        <v>196</v>
      </c>
      <c r="I293">
        <v>4</v>
      </c>
      <c r="J293">
        <v>0</v>
      </c>
      <c r="K293" t="s">
        <v>171</v>
      </c>
      <c r="L293">
        <v>1</v>
      </c>
      <c r="M293" t="s">
        <v>172</v>
      </c>
      <c r="N293">
        <v>1277</v>
      </c>
    </row>
    <row r="294" spans="1:14">
      <c r="A294">
        <v>30</v>
      </c>
      <c r="B294">
        <v>46192</v>
      </c>
      <c r="C294" t="s">
        <v>19</v>
      </c>
      <c r="D294" t="s">
        <v>32</v>
      </c>
      <c r="E294">
        <v>3</v>
      </c>
      <c r="F294">
        <v>46172</v>
      </c>
      <c r="G294" t="s">
        <v>32</v>
      </c>
      <c r="H294" t="s">
        <v>43</v>
      </c>
      <c r="I294">
        <v>4</v>
      </c>
      <c r="J294">
        <v>1</v>
      </c>
      <c r="K294" t="s">
        <v>171</v>
      </c>
      <c r="L294">
        <v>1</v>
      </c>
      <c r="M294" t="s">
        <v>172</v>
      </c>
      <c r="N294">
        <v>1195</v>
      </c>
    </row>
    <row r="295" spans="1:14">
      <c r="A295">
        <v>30</v>
      </c>
      <c r="B295">
        <v>46192</v>
      </c>
      <c r="C295" t="s">
        <v>19</v>
      </c>
      <c r="D295" t="s">
        <v>32</v>
      </c>
      <c r="E295">
        <v>4</v>
      </c>
      <c r="F295">
        <v>46112</v>
      </c>
      <c r="G295" t="s">
        <v>32</v>
      </c>
      <c r="H295" t="s">
        <v>180</v>
      </c>
      <c r="I295">
        <v>0</v>
      </c>
      <c r="J295">
        <v>1</v>
      </c>
      <c r="K295" t="s">
        <v>69</v>
      </c>
      <c r="L295">
        <v>0</v>
      </c>
      <c r="M295" t="s">
        <v>172</v>
      </c>
      <c r="N295">
        <v>1146</v>
      </c>
    </row>
    <row r="296" spans="1:14">
      <c r="A296">
        <v>30</v>
      </c>
      <c r="B296">
        <v>46192</v>
      </c>
      <c r="C296" t="s">
        <v>19</v>
      </c>
      <c r="D296" t="s">
        <v>32</v>
      </c>
      <c r="E296">
        <v>5</v>
      </c>
      <c r="F296">
        <v>46109</v>
      </c>
      <c r="G296" t="s">
        <v>32</v>
      </c>
      <c r="H296" t="s">
        <v>46</v>
      </c>
      <c r="I296">
        <v>0</v>
      </c>
      <c r="J296">
        <v>1</v>
      </c>
      <c r="K296" t="s">
        <v>69</v>
      </c>
      <c r="L296">
        <v>0</v>
      </c>
      <c r="M296" t="s">
        <v>172</v>
      </c>
      <c r="N296">
        <v>1100</v>
      </c>
    </row>
    <row r="297" spans="1:14">
      <c r="A297">
        <v>30</v>
      </c>
      <c r="B297">
        <v>46192</v>
      </c>
      <c r="C297" t="s">
        <v>24</v>
      </c>
      <c r="D297" t="s">
        <v>36</v>
      </c>
      <c r="E297">
        <v>1</v>
      </c>
      <c r="F297">
        <v>46186</v>
      </c>
      <c r="G297" t="s">
        <v>36</v>
      </c>
      <c r="H297" t="s">
        <v>35</v>
      </c>
      <c r="I297">
        <v>1</v>
      </c>
      <c r="J297">
        <v>1</v>
      </c>
      <c r="K297" t="s">
        <v>27</v>
      </c>
      <c r="L297">
        <v>0</v>
      </c>
      <c r="M297" t="s">
        <v>242</v>
      </c>
      <c r="N297">
        <v>1340</v>
      </c>
    </row>
    <row r="298" spans="1:14">
      <c r="A298">
        <v>30</v>
      </c>
      <c r="B298">
        <v>46192</v>
      </c>
      <c r="C298" t="s">
        <v>24</v>
      </c>
      <c r="D298" t="s">
        <v>36</v>
      </c>
      <c r="E298">
        <v>2</v>
      </c>
      <c r="F298">
        <v>46180</v>
      </c>
      <c r="G298" t="s">
        <v>36</v>
      </c>
      <c r="H298" t="s">
        <v>63</v>
      </c>
      <c r="I298">
        <v>1</v>
      </c>
      <c r="J298">
        <v>1</v>
      </c>
      <c r="K298" t="s">
        <v>27</v>
      </c>
      <c r="L298">
        <v>0</v>
      </c>
      <c r="M298" t="s">
        <v>172</v>
      </c>
      <c r="N298">
        <v>1303</v>
      </c>
    </row>
    <row r="299" spans="1:14">
      <c r="A299">
        <v>30</v>
      </c>
      <c r="B299">
        <v>46192</v>
      </c>
      <c r="C299" t="s">
        <v>24</v>
      </c>
      <c r="D299" t="s">
        <v>36</v>
      </c>
      <c r="E299">
        <v>3</v>
      </c>
      <c r="F299">
        <v>46175</v>
      </c>
      <c r="G299" t="s">
        <v>36</v>
      </c>
      <c r="H299" t="s">
        <v>200</v>
      </c>
      <c r="I299">
        <v>4</v>
      </c>
      <c r="J299">
        <v>0</v>
      </c>
      <c r="K299" t="s">
        <v>171</v>
      </c>
      <c r="L299">
        <v>1</v>
      </c>
      <c r="M299" t="s">
        <v>172</v>
      </c>
      <c r="N299">
        <v>1218</v>
      </c>
    </row>
    <row r="300" spans="1:14">
      <c r="A300">
        <v>30</v>
      </c>
      <c r="B300">
        <v>46192</v>
      </c>
      <c r="C300" t="s">
        <v>24</v>
      </c>
      <c r="D300" t="s">
        <v>36</v>
      </c>
      <c r="E300">
        <v>4</v>
      </c>
      <c r="F300">
        <v>46168</v>
      </c>
      <c r="G300" t="s">
        <v>36</v>
      </c>
      <c r="H300" t="s">
        <v>201</v>
      </c>
      <c r="I300">
        <v>5</v>
      </c>
      <c r="J300">
        <v>0</v>
      </c>
      <c r="K300" t="s">
        <v>171</v>
      </c>
      <c r="L300">
        <v>1</v>
      </c>
      <c r="M300" t="s">
        <v>172</v>
      </c>
      <c r="N300">
        <v>1183</v>
      </c>
    </row>
    <row r="301" spans="1:14">
      <c r="A301">
        <v>30</v>
      </c>
      <c r="B301">
        <v>46192</v>
      </c>
      <c r="C301" t="s">
        <v>24</v>
      </c>
      <c r="D301" t="s">
        <v>36</v>
      </c>
      <c r="E301">
        <v>5</v>
      </c>
      <c r="F301">
        <v>46112</v>
      </c>
      <c r="G301" t="s">
        <v>36</v>
      </c>
      <c r="H301" t="s">
        <v>29</v>
      </c>
      <c r="I301">
        <v>2</v>
      </c>
      <c r="J301">
        <v>1</v>
      </c>
      <c r="K301" t="s">
        <v>171</v>
      </c>
      <c r="L301">
        <v>1</v>
      </c>
      <c r="M301" t="s">
        <v>172</v>
      </c>
      <c r="N301">
        <v>1152</v>
      </c>
    </row>
    <row r="302" spans="1:14">
      <c r="A302">
        <v>31</v>
      </c>
      <c r="B302">
        <v>46192</v>
      </c>
      <c r="C302" t="s">
        <v>19</v>
      </c>
      <c r="D302" t="s">
        <v>34</v>
      </c>
      <c r="E302">
        <v>1</v>
      </c>
      <c r="F302">
        <v>46186</v>
      </c>
      <c r="G302" t="s">
        <v>198</v>
      </c>
      <c r="H302" t="s">
        <v>33</v>
      </c>
      <c r="I302">
        <v>0</v>
      </c>
      <c r="J302">
        <v>2</v>
      </c>
      <c r="K302" t="s">
        <v>69</v>
      </c>
      <c r="L302">
        <v>0</v>
      </c>
      <c r="M302" t="s">
        <v>242</v>
      </c>
      <c r="N302">
        <v>1342</v>
      </c>
    </row>
    <row r="303" spans="1:14">
      <c r="A303">
        <v>31</v>
      </c>
      <c r="B303">
        <v>46192</v>
      </c>
      <c r="C303" t="s">
        <v>19</v>
      </c>
      <c r="D303" t="s">
        <v>34</v>
      </c>
      <c r="E303">
        <v>2</v>
      </c>
      <c r="F303">
        <v>46179</v>
      </c>
      <c r="G303" t="s">
        <v>198</v>
      </c>
      <c r="H303" t="s">
        <v>189</v>
      </c>
      <c r="I303">
        <v>2</v>
      </c>
      <c r="J303">
        <v>1</v>
      </c>
      <c r="K303" t="s">
        <v>171</v>
      </c>
      <c r="L303">
        <v>1</v>
      </c>
      <c r="M303" t="s">
        <v>172</v>
      </c>
      <c r="N303">
        <v>1292</v>
      </c>
    </row>
    <row r="304" spans="1:14">
      <c r="A304">
        <v>31</v>
      </c>
      <c r="B304">
        <v>46192</v>
      </c>
      <c r="C304" t="s">
        <v>19</v>
      </c>
      <c r="D304" t="s">
        <v>34</v>
      </c>
      <c r="E304">
        <v>3</v>
      </c>
      <c r="F304">
        <v>46174</v>
      </c>
      <c r="G304" t="s">
        <v>198</v>
      </c>
      <c r="H304" t="s">
        <v>190</v>
      </c>
      <c r="I304">
        <v>4</v>
      </c>
      <c r="J304">
        <v>0</v>
      </c>
      <c r="K304" t="s">
        <v>171</v>
      </c>
      <c r="L304">
        <v>1</v>
      </c>
      <c r="M304" t="s">
        <v>172</v>
      </c>
      <c r="N304">
        <v>1213</v>
      </c>
    </row>
    <row r="305" spans="1:14">
      <c r="A305">
        <v>31</v>
      </c>
      <c r="B305">
        <v>46192</v>
      </c>
      <c r="C305" t="s">
        <v>19</v>
      </c>
      <c r="D305" t="s">
        <v>34</v>
      </c>
      <c r="E305">
        <v>4</v>
      </c>
      <c r="F305">
        <v>46112</v>
      </c>
      <c r="G305" t="s">
        <v>198</v>
      </c>
      <c r="H305" t="s">
        <v>183</v>
      </c>
      <c r="I305">
        <v>1</v>
      </c>
      <c r="J305">
        <v>0</v>
      </c>
      <c r="K305" t="s">
        <v>171</v>
      </c>
      <c r="L305">
        <v>1</v>
      </c>
      <c r="M305" t="s">
        <v>185</v>
      </c>
      <c r="N305">
        <v>1172</v>
      </c>
    </row>
    <row r="306" spans="1:14">
      <c r="A306">
        <v>31</v>
      </c>
      <c r="B306">
        <v>46192</v>
      </c>
      <c r="C306" t="s">
        <v>19</v>
      </c>
      <c r="D306" t="s">
        <v>34</v>
      </c>
      <c r="E306">
        <v>5</v>
      </c>
      <c r="F306">
        <v>46107</v>
      </c>
      <c r="G306" t="s">
        <v>198</v>
      </c>
      <c r="H306" t="s">
        <v>199</v>
      </c>
      <c r="I306">
        <v>1</v>
      </c>
      <c r="J306">
        <v>0</v>
      </c>
      <c r="K306" t="s">
        <v>171</v>
      </c>
      <c r="L306">
        <v>1</v>
      </c>
      <c r="M306" t="s">
        <v>185</v>
      </c>
      <c r="N306">
        <v>1046</v>
      </c>
    </row>
    <row r="307" spans="1:14">
      <c r="A307">
        <v>31</v>
      </c>
      <c r="B307">
        <v>46192</v>
      </c>
      <c r="C307" t="s">
        <v>24</v>
      </c>
      <c r="D307" t="s">
        <v>29</v>
      </c>
      <c r="E307">
        <v>1</v>
      </c>
      <c r="F307">
        <v>46185</v>
      </c>
      <c r="G307" t="s">
        <v>29</v>
      </c>
      <c r="H307" t="s">
        <v>193</v>
      </c>
      <c r="I307">
        <v>1</v>
      </c>
      <c r="J307">
        <v>4</v>
      </c>
      <c r="K307" t="s">
        <v>69</v>
      </c>
      <c r="L307">
        <v>0</v>
      </c>
      <c r="M307" t="s">
        <v>242</v>
      </c>
      <c r="N307">
        <v>1338</v>
      </c>
    </row>
    <row r="308" spans="1:14">
      <c r="A308">
        <v>31</v>
      </c>
      <c r="B308">
        <v>46192</v>
      </c>
      <c r="C308" t="s">
        <v>24</v>
      </c>
      <c r="D308" t="s">
        <v>29</v>
      </c>
      <c r="E308">
        <v>2</v>
      </c>
      <c r="F308">
        <v>46178</v>
      </c>
      <c r="G308" t="s">
        <v>29</v>
      </c>
      <c r="H308" t="s">
        <v>174</v>
      </c>
      <c r="I308">
        <v>4</v>
      </c>
      <c r="J308">
        <v>0</v>
      </c>
      <c r="K308" t="s">
        <v>171</v>
      </c>
      <c r="L308">
        <v>1</v>
      </c>
      <c r="M308" t="s">
        <v>172</v>
      </c>
      <c r="N308">
        <v>1257</v>
      </c>
    </row>
    <row r="309" spans="1:14">
      <c r="A309">
        <v>31</v>
      </c>
      <c r="B309">
        <v>46192</v>
      </c>
      <c r="C309" t="s">
        <v>24</v>
      </c>
      <c r="D309" t="s">
        <v>29</v>
      </c>
      <c r="E309">
        <v>3</v>
      </c>
      <c r="F309">
        <v>46112</v>
      </c>
      <c r="G309" t="s">
        <v>29</v>
      </c>
      <c r="H309" t="s">
        <v>36</v>
      </c>
      <c r="I309">
        <v>1</v>
      </c>
      <c r="J309">
        <v>2</v>
      </c>
      <c r="K309" t="s">
        <v>69</v>
      </c>
      <c r="L309">
        <v>0</v>
      </c>
      <c r="M309" t="s">
        <v>172</v>
      </c>
      <c r="N309">
        <v>1152</v>
      </c>
    </row>
    <row r="310" spans="1:14">
      <c r="A310">
        <v>31</v>
      </c>
      <c r="B310">
        <v>46192</v>
      </c>
      <c r="C310" t="s">
        <v>24</v>
      </c>
      <c r="D310" t="s">
        <v>29</v>
      </c>
      <c r="E310">
        <v>4</v>
      </c>
      <c r="F310">
        <v>46108</v>
      </c>
      <c r="G310" t="s">
        <v>29</v>
      </c>
      <c r="H310" t="s">
        <v>194</v>
      </c>
      <c r="I310">
        <v>1</v>
      </c>
      <c r="J310">
        <v>0</v>
      </c>
      <c r="K310" t="s">
        <v>171</v>
      </c>
      <c r="L310">
        <v>1</v>
      </c>
      <c r="M310" t="s">
        <v>172</v>
      </c>
      <c r="N310">
        <v>1063</v>
      </c>
    </row>
    <row r="311" spans="1:14">
      <c r="A311">
        <v>31</v>
      </c>
      <c r="B311">
        <v>46192</v>
      </c>
      <c r="C311" t="s">
        <v>24</v>
      </c>
      <c r="D311" t="s">
        <v>29</v>
      </c>
      <c r="E311">
        <v>5</v>
      </c>
      <c r="F311">
        <v>45979</v>
      </c>
      <c r="G311" t="s">
        <v>29</v>
      </c>
      <c r="H311" t="s">
        <v>20</v>
      </c>
      <c r="I311">
        <v>2</v>
      </c>
      <c r="J311">
        <v>1</v>
      </c>
      <c r="K311" t="s">
        <v>171</v>
      </c>
      <c r="L311">
        <v>1</v>
      </c>
      <c r="M311" t="s">
        <v>172</v>
      </c>
      <c r="N311">
        <v>903</v>
      </c>
    </row>
    <row r="312" spans="1:14">
      <c r="A312">
        <v>32</v>
      </c>
      <c r="B312">
        <v>46192</v>
      </c>
      <c r="C312" t="s">
        <v>19</v>
      </c>
      <c r="D312" t="s">
        <v>28</v>
      </c>
      <c r="E312">
        <v>1</v>
      </c>
      <c r="F312">
        <v>46185</v>
      </c>
      <c r="G312" t="s">
        <v>193</v>
      </c>
      <c r="H312" t="s">
        <v>29</v>
      </c>
      <c r="I312">
        <v>4</v>
      </c>
      <c r="J312">
        <v>1</v>
      </c>
      <c r="K312" t="s">
        <v>171</v>
      </c>
      <c r="L312">
        <v>1</v>
      </c>
      <c r="M312" t="s">
        <v>242</v>
      </c>
      <c r="N312">
        <v>1338</v>
      </c>
    </row>
    <row r="313" spans="1:14">
      <c r="A313">
        <v>32</v>
      </c>
      <c r="B313">
        <v>46192</v>
      </c>
      <c r="C313" t="s">
        <v>19</v>
      </c>
      <c r="D313" t="s">
        <v>28</v>
      </c>
      <c r="E313">
        <v>2</v>
      </c>
      <c r="F313">
        <v>46179</v>
      </c>
      <c r="G313" t="s">
        <v>193</v>
      </c>
      <c r="H313" t="s">
        <v>42</v>
      </c>
      <c r="I313">
        <v>1</v>
      </c>
      <c r="J313">
        <v>2</v>
      </c>
      <c r="K313" t="s">
        <v>69</v>
      </c>
      <c r="L313">
        <v>0</v>
      </c>
      <c r="M313" t="s">
        <v>172</v>
      </c>
      <c r="N313">
        <v>1289</v>
      </c>
    </row>
    <row r="314" spans="1:14">
      <c r="A314">
        <v>32</v>
      </c>
      <c r="B314">
        <v>46192</v>
      </c>
      <c r="C314" t="s">
        <v>19</v>
      </c>
      <c r="D314" t="s">
        <v>28</v>
      </c>
      <c r="E314">
        <v>3</v>
      </c>
      <c r="F314">
        <v>46173</v>
      </c>
      <c r="G314" t="s">
        <v>193</v>
      </c>
      <c r="H314" t="s">
        <v>61</v>
      </c>
      <c r="I314">
        <v>3</v>
      </c>
      <c r="J314">
        <v>2</v>
      </c>
      <c r="K314" t="s">
        <v>171</v>
      </c>
      <c r="L314">
        <v>1</v>
      </c>
      <c r="M314" t="s">
        <v>172</v>
      </c>
      <c r="N314">
        <v>1205</v>
      </c>
    </row>
    <row r="315" spans="1:14">
      <c r="A315">
        <v>32</v>
      </c>
      <c r="B315">
        <v>46192</v>
      </c>
      <c r="C315" t="s">
        <v>19</v>
      </c>
      <c r="D315" t="s">
        <v>28</v>
      </c>
      <c r="E315">
        <v>4</v>
      </c>
      <c r="F315">
        <v>46112</v>
      </c>
      <c r="G315" t="s">
        <v>193</v>
      </c>
      <c r="H315" t="s">
        <v>75</v>
      </c>
      <c r="I315">
        <v>0</v>
      </c>
      <c r="J315">
        <v>2</v>
      </c>
      <c r="K315" t="s">
        <v>69</v>
      </c>
      <c r="L315">
        <v>0</v>
      </c>
      <c r="M315" t="s">
        <v>172</v>
      </c>
      <c r="N315">
        <v>1166</v>
      </c>
    </row>
    <row r="316" spans="1:14">
      <c r="A316">
        <v>32</v>
      </c>
      <c r="B316">
        <v>46192</v>
      </c>
      <c r="C316" t="s">
        <v>19</v>
      </c>
      <c r="D316" t="s">
        <v>28</v>
      </c>
      <c r="E316">
        <v>5</v>
      </c>
      <c r="F316">
        <v>46109</v>
      </c>
      <c r="G316" t="s">
        <v>193</v>
      </c>
      <c r="H316" t="s">
        <v>57</v>
      </c>
      <c r="I316">
        <v>2</v>
      </c>
      <c r="J316">
        <v>5</v>
      </c>
      <c r="K316" t="s">
        <v>69</v>
      </c>
      <c r="L316">
        <v>0</v>
      </c>
      <c r="M316" t="s">
        <v>172</v>
      </c>
      <c r="N316">
        <v>1102</v>
      </c>
    </row>
    <row r="317" spans="1:14">
      <c r="A317">
        <v>32</v>
      </c>
      <c r="B317">
        <v>46192</v>
      </c>
      <c r="C317" t="s">
        <v>24</v>
      </c>
      <c r="D317" t="s">
        <v>33</v>
      </c>
      <c r="E317">
        <v>1</v>
      </c>
      <c r="F317">
        <v>46186</v>
      </c>
      <c r="G317" t="s">
        <v>33</v>
      </c>
      <c r="H317" t="s">
        <v>198</v>
      </c>
      <c r="I317">
        <v>2</v>
      </c>
      <c r="J317">
        <v>0</v>
      </c>
      <c r="K317" t="s">
        <v>171</v>
      </c>
      <c r="L317">
        <v>1</v>
      </c>
      <c r="M317" t="s">
        <v>242</v>
      </c>
      <c r="N317">
        <v>1342</v>
      </c>
    </row>
    <row r="318" spans="1:14">
      <c r="A318">
        <v>32</v>
      </c>
      <c r="B318">
        <v>46192</v>
      </c>
      <c r="C318" t="s">
        <v>24</v>
      </c>
      <c r="D318" t="s">
        <v>33</v>
      </c>
      <c r="E318">
        <v>2</v>
      </c>
      <c r="F318">
        <v>46179</v>
      </c>
      <c r="G318" t="s">
        <v>33</v>
      </c>
      <c r="H318" t="s">
        <v>38</v>
      </c>
      <c r="I318">
        <v>1</v>
      </c>
      <c r="J318">
        <v>1</v>
      </c>
      <c r="K318" t="s">
        <v>27</v>
      </c>
      <c r="L318">
        <v>0</v>
      </c>
      <c r="M318" t="s">
        <v>172</v>
      </c>
      <c r="N318">
        <v>1274</v>
      </c>
    </row>
    <row r="319" spans="1:14">
      <c r="A319">
        <v>32</v>
      </c>
      <c r="B319">
        <v>46192</v>
      </c>
      <c r="C319" t="s">
        <v>24</v>
      </c>
      <c r="D319" t="s">
        <v>33</v>
      </c>
      <c r="E319">
        <v>3</v>
      </c>
      <c r="F319">
        <v>46172</v>
      </c>
      <c r="G319" t="s">
        <v>33</v>
      </c>
      <c r="H319" t="s">
        <v>20</v>
      </c>
      <c r="I319">
        <v>0</v>
      </c>
      <c r="J319">
        <v>1</v>
      </c>
      <c r="K319" t="s">
        <v>69</v>
      </c>
      <c r="L319">
        <v>0</v>
      </c>
      <c r="M319" t="s">
        <v>172</v>
      </c>
      <c r="N319">
        <v>1194</v>
      </c>
    </row>
    <row r="320" spans="1:14">
      <c r="A320">
        <v>32</v>
      </c>
      <c r="B320">
        <v>46192</v>
      </c>
      <c r="C320" t="s">
        <v>24</v>
      </c>
      <c r="D320" t="s">
        <v>33</v>
      </c>
      <c r="E320">
        <v>4</v>
      </c>
      <c r="F320">
        <v>46112</v>
      </c>
      <c r="G320" t="s">
        <v>33</v>
      </c>
      <c r="H320" t="s">
        <v>43</v>
      </c>
      <c r="I320">
        <v>5</v>
      </c>
      <c r="J320">
        <v>1</v>
      </c>
      <c r="K320" t="s">
        <v>171</v>
      </c>
      <c r="L320">
        <v>1</v>
      </c>
      <c r="M320" t="s">
        <v>197</v>
      </c>
      <c r="N320">
        <v>1175</v>
      </c>
    </row>
    <row r="321" spans="1:14">
      <c r="A321">
        <v>32</v>
      </c>
      <c r="B321">
        <v>46192</v>
      </c>
      <c r="C321" t="s">
        <v>24</v>
      </c>
      <c r="D321" t="s">
        <v>33</v>
      </c>
      <c r="E321">
        <v>5</v>
      </c>
      <c r="F321">
        <v>46108</v>
      </c>
      <c r="G321" t="s">
        <v>33</v>
      </c>
      <c r="H321" t="s">
        <v>175</v>
      </c>
      <c r="I321">
        <v>1</v>
      </c>
      <c r="J321">
        <v>0</v>
      </c>
      <c r="K321" t="s">
        <v>171</v>
      </c>
      <c r="L321">
        <v>1</v>
      </c>
      <c r="M321" t="s">
        <v>197</v>
      </c>
      <c r="N321">
        <v>1078</v>
      </c>
    </row>
    <row r="322" spans="1:14">
      <c r="A322">
        <v>33</v>
      </c>
      <c r="B322">
        <v>46193</v>
      </c>
      <c r="C322" t="s">
        <v>19</v>
      </c>
      <c r="D322" t="s">
        <v>42</v>
      </c>
      <c r="E322">
        <v>1</v>
      </c>
      <c r="F322">
        <v>46187</v>
      </c>
      <c r="G322" t="s">
        <v>42</v>
      </c>
      <c r="H322" t="s">
        <v>43</v>
      </c>
      <c r="I322">
        <v>7</v>
      </c>
      <c r="J322">
        <v>1</v>
      </c>
      <c r="K322" t="s">
        <v>171</v>
      </c>
      <c r="L322">
        <v>1</v>
      </c>
      <c r="M322" t="s">
        <v>242</v>
      </c>
      <c r="N322">
        <v>1343</v>
      </c>
    </row>
    <row r="323" spans="1:14">
      <c r="A323">
        <v>33</v>
      </c>
      <c r="B323">
        <v>46193</v>
      </c>
      <c r="C323" t="s">
        <v>19</v>
      </c>
      <c r="D323" t="s">
        <v>42</v>
      </c>
      <c r="E323">
        <v>2</v>
      </c>
      <c r="F323">
        <v>46179</v>
      </c>
      <c r="G323" t="s">
        <v>42</v>
      </c>
      <c r="H323" t="s">
        <v>193</v>
      </c>
      <c r="I323">
        <v>2</v>
      </c>
      <c r="J323">
        <v>1</v>
      </c>
      <c r="K323" t="s">
        <v>171</v>
      </c>
      <c r="L323">
        <v>1</v>
      </c>
      <c r="M323" t="s">
        <v>172</v>
      </c>
      <c r="N323">
        <v>1289</v>
      </c>
    </row>
    <row r="324" spans="1:14">
      <c r="A324">
        <v>33</v>
      </c>
      <c r="B324">
        <v>46193</v>
      </c>
      <c r="C324" t="s">
        <v>19</v>
      </c>
      <c r="D324" t="s">
        <v>42</v>
      </c>
      <c r="E324">
        <v>3</v>
      </c>
      <c r="F324">
        <v>46173</v>
      </c>
      <c r="G324" t="s">
        <v>42</v>
      </c>
      <c r="H324" t="s">
        <v>206</v>
      </c>
      <c r="I324">
        <v>4</v>
      </c>
      <c r="J324">
        <v>0</v>
      </c>
      <c r="K324" t="s">
        <v>171</v>
      </c>
      <c r="L324">
        <v>1</v>
      </c>
      <c r="M324" t="s">
        <v>172</v>
      </c>
      <c r="N324">
        <v>1201</v>
      </c>
    </row>
    <row r="325" spans="1:14">
      <c r="A325">
        <v>33</v>
      </c>
      <c r="B325">
        <v>46193</v>
      </c>
      <c r="C325" t="s">
        <v>19</v>
      </c>
      <c r="D325" t="s">
        <v>42</v>
      </c>
      <c r="E325">
        <v>4</v>
      </c>
      <c r="F325">
        <v>46111</v>
      </c>
      <c r="G325" t="s">
        <v>42</v>
      </c>
      <c r="H325" t="s">
        <v>70</v>
      </c>
      <c r="I325">
        <v>2</v>
      </c>
      <c r="J325">
        <v>1</v>
      </c>
      <c r="K325" t="s">
        <v>171</v>
      </c>
      <c r="L325">
        <v>1</v>
      </c>
      <c r="M325" t="s">
        <v>172</v>
      </c>
      <c r="N325">
        <v>1122</v>
      </c>
    </row>
    <row r="326" spans="1:14">
      <c r="A326">
        <v>33</v>
      </c>
      <c r="B326">
        <v>46193</v>
      </c>
      <c r="C326" t="s">
        <v>19</v>
      </c>
      <c r="D326" t="s">
        <v>42</v>
      </c>
      <c r="E326">
        <v>5</v>
      </c>
      <c r="F326">
        <v>46108</v>
      </c>
      <c r="G326" t="s">
        <v>42</v>
      </c>
      <c r="H326" t="s">
        <v>38</v>
      </c>
      <c r="I326">
        <v>4</v>
      </c>
      <c r="J326">
        <v>3</v>
      </c>
      <c r="K326" t="s">
        <v>171</v>
      </c>
      <c r="L326">
        <v>1</v>
      </c>
      <c r="M326" t="s">
        <v>172</v>
      </c>
      <c r="N326">
        <v>1074</v>
      </c>
    </row>
    <row r="327" spans="1:14">
      <c r="A327">
        <v>33</v>
      </c>
      <c r="B327">
        <v>46193</v>
      </c>
      <c r="C327" t="s">
        <v>24</v>
      </c>
      <c r="D327" t="s">
        <v>40</v>
      </c>
      <c r="E327">
        <v>1</v>
      </c>
      <c r="F327">
        <v>46187</v>
      </c>
      <c r="G327" t="s">
        <v>180</v>
      </c>
      <c r="H327" t="s">
        <v>41</v>
      </c>
      <c r="I327">
        <v>1</v>
      </c>
      <c r="J327">
        <v>0</v>
      </c>
      <c r="K327" t="s">
        <v>171</v>
      </c>
      <c r="L327">
        <v>1</v>
      </c>
      <c r="M327" t="s">
        <v>242</v>
      </c>
      <c r="N327">
        <v>1344</v>
      </c>
    </row>
    <row r="328" spans="1:14">
      <c r="A328">
        <v>33</v>
      </c>
      <c r="B328">
        <v>46193</v>
      </c>
      <c r="C328" t="s">
        <v>24</v>
      </c>
      <c r="D328" t="s">
        <v>40</v>
      </c>
      <c r="E328">
        <v>2</v>
      </c>
      <c r="F328">
        <v>46177</v>
      </c>
      <c r="G328" t="s">
        <v>180</v>
      </c>
      <c r="H328" t="s">
        <v>60</v>
      </c>
      <c r="I328">
        <v>2</v>
      </c>
      <c r="J328">
        <v>1</v>
      </c>
      <c r="K328" t="s">
        <v>171</v>
      </c>
      <c r="L328">
        <v>1</v>
      </c>
      <c r="M328" t="s">
        <v>172</v>
      </c>
      <c r="N328">
        <v>1238</v>
      </c>
    </row>
    <row r="329" spans="1:14">
      <c r="A329">
        <v>33</v>
      </c>
      <c r="B329">
        <v>46193</v>
      </c>
      <c r="C329" t="s">
        <v>24</v>
      </c>
      <c r="D329" t="s">
        <v>40</v>
      </c>
      <c r="E329">
        <v>3</v>
      </c>
      <c r="F329">
        <v>46112</v>
      </c>
      <c r="G329" t="s">
        <v>180</v>
      </c>
      <c r="H329" t="s">
        <v>32</v>
      </c>
      <c r="I329">
        <v>1</v>
      </c>
      <c r="J329">
        <v>0</v>
      </c>
      <c r="K329" t="s">
        <v>171</v>
      </c>
      <c r="L329">
        <v>1</v>
      </c>
      <c r="M329" t="s">
        <v>172</v>
      </c>
      <c r="N329">
        <v>1146</v>
      </c>
    </row>
    <row r="330" spans="1:14">
      <c r="A330">
        <v>33</v>
      </c>
      <c r="B330">
        <v>46193</v>
      </c>
      <c r="C330" t="s">
        <v>24</v>
      </c>
      <c r="D330" t="s">
        <v>40</v>
      </c>
      <c r="E330">
        <v>4</v>
      </c>
      <c r="F330">
        <v>46109</v>
      </c>
      <c r="G330" t="s">
        <v>180</v>
      </c>
      <c r="H330" t="s">
        <v>177</v>
      </c>
      <c r="I330">
        <v>4</v>
      </c>
      <c r="J330">
        <v>0</v>
      </c>
      <c r="K330" t="s">
        <v>171</v>
      </c>
      <c r="L330">
        <v>1</v>
      </c>
      <c r="M330" t="s">
        <v>172</v>
      </c>
      <c r="N330">
        <v>1097</v>
      </c>
    </row>
    <row r="331" spans="1:14">
      <c r="A331">
        <v>33</v>
      </c>
      <c r="B331">
        <v>46193</v>
      </c>
      <c r="C331" t="s">
        <v>24</v>
      </c>
      <c r="D331" t="s">
        <v>40</v>
      </c>
      <c r="E331">
        <v>5</v>
      </c>
      <c r="F331">
        <v>46032</v>
      </c>
      <c r="G331" t="s">
        <v>180</v>
      </c>
      <c r="H331" t="s">
        <v>58</v>
      </c>
      <c r="I331">
        <v>2</v>
      </c>
      <c r="J331">
        <v>3</v>
      </c>
      <c r="K331" t="s">
        <v>69</v>
      </c>
      <c r="L331">
        <v>0</v>
      </c>
      <c r="M331" t="s">
        <v>176</v>
      </c>
      <c r="N331">
        <v>1015</v>
      </c>
    </row>
    <row r="332" spans="1:14">
      <c r="A332">
        <v>34</v>
      </c>
      <c r="B332">
        <v>46193</v>
      </c>
      <c r="C332" t="s">
        <v>19</v>
      </c>
      <c r="D332" t="s">
        <v>41</v>
      </c>
      <c r="E332">
        <v>1</v>
      </c>
      <c r="F332">
        <v>46187</v>
      </c>
      <c r="G332" t="s">
        <v>41</v>
      </c>
      <c r="H332" t="s">
        <v>180</v>
      </c>
      <c r="I332">
        <v>0</v>
      </c>
      <c r="J332">
        <v>1</v>
      </c>
      <c r="K332" t="s">
        <v>69</v>
      </c>
      <c r="L332">
        <v>0</v>
      </c>
      <c r="M332" t="s">
        <v>242</v>
      </c>
      <c r="N332">
        <v>1344</v>
      </c>
    </row>
    <row r="333" spans="1:14">
      <c r="A333">
        <v>34</v>
      </c>
      <c r="B333">
        <v>46193</v>
      </c>
      <c r="C333" t="s">
        <v>19</v>
      </c>
      <c r="D333" t="s">
        <v>41</v>
      </c>
      <c r="E333">
        <v>2</v>
      </c>
      <c r="F333">
        <v>46180</v>
      </c>
      <c r="G333" t="s">
        <v>41</v>
      </c>
      <c r="H333" t="s">
        <v>182</v>
      </c>
      <c r="I333">
        <v>3</v>
      </c>
      <c r="J333">
        <v>0</v>
      </c>
      <c r="K333" t="s">
        <v>171</v>
      </c>
      <c r="L333">
        <v>1</v>
      </c>
      <c r="M333" t="s">
        <v>172</v>
      </c>
      <c r="N333">
        <v>1298</v>
      </c>
    </row>
    <row r="334" spans="1:14">
      <c r="A334">
        <v>34</v>
      </c>
      <c r="B334">
        <v>46193</v>
      </c>
      <c r="C334" t="s">
        <v>19</v>
      </c>
      <c r="D334" t="s">
        <v>41</v>
      </c>
      <c r="E334">
        <v>3</v>
      </c>
      <c r="F334">
        <v>46172</v>
      </c>
      <c r="G334" t="s">
        <v>41</v>
      </c>
      <c r="H334" t="s">
        <v>50</v>
      </c>
      <c r="I334">
        <v>2</v>
      </c>
      <c r="J334">
        <v>1</v>
      </c>
      <c r="K334" t="s">
        <v>171</v>
      </c>
      <c r="L334">
        <v>1</v>
      </c>
      <c r="M334" t="s">
        <v>172</v>
      </c>
      <c r="N334">
        <v>1192</v>
      </c>
    </row>
    <row r="335" spans="1:14">
      <c r="A335">
        <v>34</v>
      </c>
      <c r="B335">
        <v>46193</v>
      </c>
      <c r="C335" t="s">
        <v>19</v>
      </c>
      <c r="D335" t="s">
        <v>41</v>
      </c>
      <c r="E335">
        <v>4</v>
      </c>
      <c r="F335">
        <v>46112</v>
      </c>
      <c r="G335" t="s">
        <v>41</v>
      </c>
      <c r="H335" t="s">
        <v>45</v>
      </c>
      <c r="I335">
        <v>1</v>
      </c>
      <c r="J335">
        <v>1</v>
      </c>
      <c r="K335" t="s">
        <v>27</v>
      </c>
      <c r="L335">
        <v>0</v>
      </c>
      <c r="M335" t="s">
        <v>172</v>
      </c>
      <c r="N335">
        <v>1153</v>
      </c>
    </row>
    <row r="336" spans="1:14">
      <c r="A336">
        <v>34</v>
      </c>
      <c r="B336">
        <v>46193</v>
      </c>
      <c r="C336" t="s">
        <v>19</v>
      </c>
      <c r="D336" t="s">
        <v>41</v>
      </c>
      <c r="E336">
        <v>5</v>
      </c>
      <c r="F336">
        <v>46108</v>
      </c>
      <c r="G336" t="s">
        <v>41</v>
      </c>
      <c r="H336" t="s">
        <v>36</v>
      </c>
      <c r="I336">
        <v>1</v>
      </c>
      <c r="J336">
        <v>1</v>
      </c>
      <c r="K336" t="s">
        <v>27</v>
      </c>
      <c r="L336">
        <v>0</v>
      </c>
      <c r="M336" t="s">
        <v>172</v>
      </c>
      <c r="N336">
        <v>1068</v>
      </c>
    </row>
    <row r="337" spans="1:14">
      <c r="A337">
        <v>34</v>
      </c>
      <c r="B337">
        <v>46193</v>
      </c>
      <c r="C337" t="s">
        <v>24</v>
      </c>
      <c r="D337" t="s">
        <v>43</v>
      </c>
      <c r="E337">
        <v>1</v>
      </c>
      <c r="F337">
        <v>46187</v>
      </c>
      <c r="G337" t="s">
        <v>43</v>
      </c>
      <c r="H337" t="s">
        <v>42</v>
      </c>
      <c r="I337">
        <v>1</v>
      </c>
      <c r="J337">
        <v>7</v>
      </c>
      <c r="K337" t="s">
        <v>69</v>
      </c>
      <c r="L337">
        <v>0</v>
      </c>
      <c r="M337" t="s">
        <v>242</v>
      </c>
      <c r="N337">
        <v>1343</v>
      </c>
    </row>
    <row r="338" spans="1:14">
      <c r="A338">
        <v>34</v>
      </c>
      <c r="B338">
        <v>46193</v>
      </c>
      <c r="C338" t="s">
        <v>24</v>
      </c>
      <c r="D338" t="s">
        <v>43</v>
      </c>
      <c r="E338">
        <v>2</v>
      </c>
      <c r="F338">
        <v>46179</v>
      </c>
      <c r="G338" t="s">
        <v>43</v>
      </c>
      <c r="H338" t="s">
        <v>208</v>
      </c>
      <c r="I338">
        <v>4</v>
      </c>
      <c r="J338">
        <v>0</v>
      </c>
      <c r="K338" t="s">
        <v>171</v>
      </c>
      <c r="L338">
        <v>1</v>
      </c>
      <c r="M338" t="s">
        <v>172</v>
      </c>
      <c r="N338">
        <v>1279</v>
      </c>
    </row>
    <row r="339" spans="1:14">
      <c r="A339">
        <v>34</v>
      </c>
      <c r="B339">
        <v>46193</v>
      </c>
      <c r="C339" t="s">
        <v>24</v>
      </c>
      <c r="D339" t="s">
        <v>43</v>
      </c>
      <c r="E339">
        <v>3</v>
      </c>
      <c r="F339">
        <v>46172</v>
      </c>
      <c r="G339" t="s">
        <v>43</v>
      </c>
      <c r="H339" t="s">
        <v>32</v>
      </c>
      <c r="I339">
        <v>1</v>
      </c>
      <c r="J339">
        <v>4</v>
      </c>
      <c r="K339" t="s">
        <v>69</v>
      </c>
      <c r="L339">
        <v>0</v>
      </c>
      <c r="M339" t="s">
        <v>172</v>
      </c>
      <c r="N339">
        <v>1195</v>
      </c>
    </row>
    <row r="340" spans="1:14">
      <c r="A340">
        <v>34</v>
      </c>
      <c r="B340">
        <v>46193</v>
      </c>
      <c r="C340" t="s">
        <v>24</v>
      </c>
      <c r="D340" t="s">
        <v>43</v>
      </c>
      <c r="E340">
        <v>4</v>
      </c>
      <c r="F340">
        <v>46112</v>
      </c>
      <c r="G340" t="s">
        <v>43</v>
      </c>
      <c r="H340" t="s">
        <v>33</v>
      </c>
      <c r="I340">
        <v>1</v>
      </c>
      <c r="J340">
        <v>5</v>
      </c>
      <c r="K340" t="s">
        <v>69</v>
      </c>
      <c r="L340">
        <v>0</v>
      </c>
      <c r="M340" t="s">
        <v>197</v>
      </c>
      <c r="N340">
        <v>1175</v>
      </c>
    </row>
    <row r="341" spans="1:14">
      <c r="A341">
        <v>34</v>
      </c>
      <c r="B341">
        <v>46193</v>
      </c>
      <c r="C341" t="s">
        <v>24</v>
      </c>
      <c r="D341" t="s">
        <v>43</v>
      </c>
      <c r="E341">
        <v>5</v>
      </c>
      <c r="F341">
        <v>46108</v>
      </c>
      <c r="G341" t="s">
        <v>43</v>
      </c>
      <c r="H341" t="s">
        <v>209</v>
      </c>
      <c r="I341">
        <v>0</v>
      </c>
      <c r="J341">
        <v>2</v>
      </c>
      <c r="K341" t="s">
        <v>69</v>
      </c>
      <c r="L341">
        <v>0</v>
      </c>
      <c r="M341" t="s">
        <v>197</v>
      </c>
      <c r="N341">
        <v>1077</v>
      </c>
    </row>
    <row r="342" spans="1:14">
      <c r="A342">
        <v>35</v>
      </c>
      <c r="B342">
        <v>46193</v>
      </c>
      <c r="C342" t="s">
        <v>19</v>
      </c>
      <c r="D342" t="s">
        <v>45</v>
      </c>
      <c r="E342">
        <v>1</v>
      </c>
      <c r="F342">
        <v>46187</v>
      </c>
      <c r="G342" t="s">
        <v>45</v>
      </c>
      <c r="H342" t="s">
        <v>46</v>
      </c>
      <c r="I342">
        <v>2</v>
      </c>
      <c r="J342">
        <v>2</v>
      </c>
      <c r="K342" t="s">
        <v>27</v>
      </c>
      <c r="L342">
        <v>0</v>
      </c>
      <c r="M342" t="s">
        <v>242</v>
      </c>
      <c r="N342">
        <v>1345</v>
      </c>
    </row>
    <row r="343" spans="1:14">
      <c r="A343">
        <v>35</v>
      </c>
      <c r="B343">
        <v>46193</v>
      </c>
      <c r="C343" t="s">
        <v>19</v>
      </c>
      <c r="D343" t="s">
        <v>45</v>
      </c>
      <c r="E343">
        <v>2</v>
      </c>
      <c r="F343">
        <v>46181</v>
      </c>
      <c r="G343" t="s">
        <v>45</v>
      </c>
      <c r="H343" t="s">
        <v>77</v>
      </c>
      <c r="I343">
        <v>2</v>
      </c>
      <c r="J343">
        <v>1</v>
      </c>
      <c r="K343" t="s">
        <v>171</v>
      </c>
      <c r="L343">
        <v>1</v>
      </c>
      <c r="M343" t="s">
        <v>172</v>
      </c>
      <c r="N343">
        <v>1306</v>
      </c>
    </row>
    <row r="344" spans="1:14">
      <c r="A344">
        <v>35</v>
      </c>
      <c r="B344">
        <v>46193</v>
      </c>
      <c r="C344" t="s">
        <v>19</v>
      </c>
      <c r="D344" t="s">
        <v>45</v>
      </c>
      <c r="E344">
        <v>3</v>
      </c>
      <c r="F344">
        <v>46176</v>
      </c>
      <c r="G344" t="s">
        <v>45</v>
      </c>
      <c r="H344" t="s">
        <v>66</v>
      </c>
      <c r="I344">
        <v>0</v>
      </c>
      <c r="J344">
        <v>1</v>
      </c>
      <c r="K344" t="s">
        <v>69</v>
      </c>
      <c r="L344">
        <v>0</v>
      </c>
      <c r="M344" t="s">
        <v>172</v>
      </c>
      <c r="N344">
        <v>1229</v>
      </c>
    </row>
    <row r="345" spans="1:14">
      <c r="A345">
        <v>35</v>
      </c>
      <c r="B345">
        <v>46193</v>
      </c>
      <c r="C345" t="s">
        <v>19</v>
      </c>
      <c r="D345" t="s">
        <v>45</v>
      </c>
      <c r="E345">
        <v>4</v>
      </c>
      <c r="F345">
        <v>46112</v>
      </c>
      <c r="G345" t="s">
        <v>45</v>
      </c>
      <c r="H345" t="s">
        <v>41</v>
      </c>
      <c r="I345">
        <v>1</v>
      </c>
      <c r="J345">
        <v>1</v>
      </c>
      <c r="K345" t="s">
        <v>27</v>
      </c>
      <c r="L345">
        <v>0</v>
      </c>
      <c r="M345" t="s">
        <v>172</v>
      </c>
      <c r="N345">
        <v>1153</v>
      </c>
    </row>
    <row r="346" spans="1:14">
      <c r="A346">
        <v>35</v>
      </c>
      <c r="B346">
        <v>46193</v>
      </c>
      <c r="C346" t="s">
        <v>19</v>
      </c>
      <c r="D346" t="s">
        <v>45</v>
      </c>
      <c r="E346">
        <v>5</v>
      </c>
      <c r="F346">
        <v>46108</v>
      </c>
      <c r="G346" t="s">
        <v>45</v>
      </c>
      <c r="H346" t="s">
        <v>63</v>
      </c>
      <c r="I346">
        <v>2</v>
      </c>
      <c r="J346">
        <v>1</v>
      </c>
      <c r="K346" t="s">
        <v>171</v>
      </c>
      <c r="L346">
        <v>1</v>
      </c>
      <c r="M346" t="s">
        <v>172</v>
      </c>
      <c r="N346">
        <v>1069</v>
      </c>
    </row>
    <row r="347" spans="1:14">
      <c r="A347">
        <v>35</v>
      </c>
      <c r="B347">
        <v>46193</v>
      </c>
      <c r="C347" t="s">
        <v>24</v>
      </c>
      <c r="D347" t="s">
        <v>47</v>
      </c>
      <c r="E347">
        <v>1</v>
      </c>
      <c r="F347">
        <v>46187</v>
      </c>
      <c r="G347" t="s">
        <v>47</v>
      </c>
      <c r="H347" t="s">
        <v>48</v>
      </c>
      <c r="I347">
        <v>5</v>
      </c>
      <c r="J347">
        <v>1</v>
      </c>
      <c r="K347" t="s">
        <v>171</v>
      </c>
      <c r="L347">
        <v>1</v>
      </c>
      <c r="M347" t="s">
        <v>242</v>
      </c>
      <c r="N347">
        <v>1346</v>
      </c>
    </row>
    <row r="348" spans="1:14">
      <c r="A348">
        <v>35</v>
      </c>
      <c r="B348">
        <v>46193</v>
      </c>
      <c r="C348" t="s">
        <v>24</v>
      </c>
      <c r="D348" t="s">
        <v>47</v>
      </c>
      <c r="E348">
        <v>2</v>
      </c>
      <c r="F348">
        <v>46177</v>
      </c>
      <c r="G348" t="s">
        <v>47</v>
      </c>
      <c r="H348" t="s">
        <v>194</v>
      </c>
      <c r="I348">
        <v>2</v>
      </c>
      <c r="J348">
        <v>2</v>
      </c>
      <c r="K348" t="s">
        <v>27</v>
      </c>
      <c r="L348">
        <v>0</v>
      </c>
      <c r="M348" t="s">
        <v>172</v>
      </c>
      <c r="N348">
        <v>1246</v>
      </c>
    </row>
    <row r="349" spans="1:14">
      <c r="A349">
        <v>35</v>
      </c>
      <c r="B349">
        <v>46193</v>
      </c>
      <c r="C349" t="s">
        <v>24</v>
      </c>
      <c r="D349" t="s">
        <v>47</v>
      </c>
      <c r="E349">
        <v>3</v>
      </c>
      <c r="F349">
        <v>46174</v>
      </c>
      <c r="G349" t="s">
        <v>47</v>
      </c>
      <c r="H349" t="s">
        <v>63</v>
      </c>
      <c r="I349">
        <v>1</v>
      </c>
      <c r="J349">
        <v>3</v>
      </c>
      <c r="K349" t="s">
        <v>69</v>
      </c>
      <c r="L349">
        <v>0</v>
      </c>
      <c r="M349" t="s">
        <v>172</v>
      </c>
      <c r="N349">
        <v>1211</v>
      </c>
    </row>
    <row r="350" spans="1:14">
      <c r="A350">
        <v>35</v>
      </c>
      <c r="B350">
        <v>46193</v>
      </c>
      <c r="C350" t="s">
        <v>24</v>
      </c>
      <c r="D350" t="s">
        <v>47</v>
      </c>
      <c r="E350">
        <v>4</v>
      </c>
      <c r="F350">
        <v>46112</v>
      </c>
      <c r="G350" t="s">
        <v>47</v>
      </c>
      <c r="H350" t="s">
        <v>212</v>
      </c>
      <c r="I350">
        <v>3</v>
      </c>
      <c r="J350">
        <v>2</v>
      </c>
      <c r="K350" t="s">
        <v>171</v>
      </c>
      <c r="L350">
        <v>1</v>
      </c>
      <c r="M350" t="s">
        <v>185</v>
      </c>
      <c r="N350">
        <v>1171</v>
      </c>
    </row>
    <row r="351" spans="1:14">
      <c r="A351">
        <v>35</v>
      </c>
      <c r="B351">
        <v>46193</v>
      </c>
      <c r="C351" t="s">
        <v>24</v>
      </c>
      <c r="D351" t="s">
        <v>47</v>
      </c>
      <c r="E351">
        <v>5</v>
      </c>
      <c r="F351">
        <v>46107</v>
      </c>
      <c r="G351" t="s">
        <v>47</v>
      </c>
      <c r="H351" t="s">
        <v>213</v>
      </c>
      <c r="I351">
        <v>3</v>
      </c>
      <c r="J351">
        <v>1</v>
      </c>
      <c r="K351" t="s">
        <v>171</v>
      </c>
      <c r="L351">
        <v>1</v>
      </c>
      <c r="M351" t="s">
        <v>185</v>
      </c>
      <c r="N351">
        <v>1044</v>
      </c>
    </row>
    <row r="352" spans="1:14">
      <c r="A352">
        <v>36</v>
      </c>
      <c r="B352">
        <v>46193</v>
      </c>
      <c r="C352" t="s">
        <v>19</v>
      </c>
      <c r="D352" t="s">
        <v>48</v>
      </c>
      <c r="E352">
        <v>1</v>
      </c>
      <c r="F352">
        <v>46187</v>
      </c>
      <c r="G352" t="s">
        <v>48</v>
      </c>
      <c r="H352" t="s">
        <v>47</v>
      </c>
      <c r="I352">
        <v>1</v>
      </c>
      <c r="J352">
        <v>5</v>
      </c>
      <c r="K352" t="s">
        <v>69</v>
      </c>
      <c r="L352">
        <v>0</v>
      </c>
      <c r="M352" t="s">
        <v>242</v>
      </c>
      <c r="N352">
        <v>1346</v>
      </c>
    </row>
    <row r="353" spans="1:14">
      <c r="A353">
        <v>36</v>
      </c>
      <c r="B353">
        <v>46193</v>
      </c>
      <c r="C353" t="s">
        <v>19</v>
      </c>
      <c r="D353" t="s">
        <v>48</v>
      </c>
      <c r="E353">
        <v>2</v>
      </c>
      <c r="F353">
        <v>46179</v>
      </c>
      <c r="G353" t="s">
        <v>48</v>
      </c>
      <c r="H353" t="s">
        <v>57</v>
      </c>
      <c r="I353">
        <v>0</v>
      </c>
      <c r="J353">
        <v>5</v>
      </c>
      <c r="K353" t="s">
        <v>69</v>
      </c>
      <c r="L353">
        <v>0</v>
      </c>
      <c r="M353" t="s">
        <v>172</v>
      </c>
      <c r="N353">
        <v>1275</v>
      </c>
    </row>
    <row r="354" spans="1:14">
      <c r="A354">
        <v>36</v>
      </c>
      <c r="B354">
        <v>46193</v>
      </c>
      <c r="C354" t="s">
        <v>19</v>
      </c>
      <c r="D354" t="s">
        <v>48</v>
      </c>
      <c r="E354">
        <v>3</v>
      </c>
      <c r="F354">
        <v>46174</v>
      </c>
      <c r="G354" t="s">
        <v>48</v>
      </c>
      <c r="H354" t="s">
        <v>67</v>
      </c>
      <c r="I354">
        <v>0</v>
      </c>
      <c r="J354">
        <v>1</v>
      </c>
      <c r="K354" t="s">
        <v>69</v>
      </c>
      <c r="L354">
        <v>0</v>
      </c>
      <c r="M354" t="s">
        <v>172</v>
      </c>
      <c r="N354">
        <v>1207</v>
      </c>
    </row>
    <row r="355" spans="1:14">
      <c r="A355">
        <v>36</v>
      </c>
      <c r="B355">
        <v>46193</v>
      </c>
      <c r="C355" t="s">
        <v>19</v>
      </c>
      <c r="D355" t="s">
        <v>48</v>
      </c>
      <c r="E355">
        <v>4</v>
      </c>
      <c r="F355">
        <v>46112</v>
      </c>
      <c r="G355" t="s">
        <v>48</v>
      </c>
      <c r="H355" t="s">
        <v>25</v>
      </c>
      <c r="I355">
        <v>0</v>
      </c>
      <c r="J355">
        <v>0</v>
      </c>
      <c r="K355" t="s">
        <v>27</v>
      </c>
      <c r="L355">
        <v>0</v>
      </c>
      <c r="M355" t="s">
        <v>172</v>
      </c>
      <c r="N355">
        <v>1140</v>
      </c>
    </row>
    <row r="356" spans="1:14">
      <c r="A356">
        <v>36</v>
      </c>
      <c r="B356">
        <v>46193</v>
      </c>
      <c r="C356" t="s">
        <v>19</v>
      </c>
      <c r="D356" t="s">
        <v>48</v>
      </c>
      <c r="E356">
        <v>5</v>
      </c>
      <c r="F356">
        <v>46109</v>
      </c>
      <c r="G356" t="s">
        <v>48</v>
      </c>
      <c r="H356" t="s">
        <v>31</v>
      </c>
      <c r="I356">
        <v>1</v>
      </c>
      <c r="J356">
        <v>0</v>
      </c>
      <c r="K356" t="s">
        <v>171</v>
      </c>
      <c r="L356">
        <v>1</v>
      </c>
      <c r="M356" t="s">
        <v>172</v>
      </c>
      <c r="N356">
        <v>1095</v>
      </c>
    </row>
    <row r="357" spans="1:14">
      <c r="A357">
        <v>36</v>
      </c>
      <c r="B357">
        <v>46193</v>
      </c>
      <c r="C357" t="s">
        <v>24</v>
      </c>
      <c r="D357" t="s">
        <v>46</v>
      </c>
      <c r="E357">
        <v>1</v>
      </c>
      <c r="F357">
        <v>46187</v>
      </c>
      <c r="G357" t="s">
        <v>46</v>
      </c>
      <c r="H357" t="s">
        <v>45</v>
      </c>
      <c r="I357">
        <v>2</v>
      </c>
      <c r="J357">
        <v>2</v>
      </c>
      <c r="K357" t="s">
        <v>27</v>
      </c>
      <c r="L357">
        <v>0</v>
      </c>
      <c r="M357" t="s">
        <v>242</v>
      </c>
      <c r="N357">
        <v>1345</v>
      </c>
    </row>
    <row r="358" spans="1:14">
      <c r="A358">
        <v>36</v>
      </c>
      <c r="B358">
        <v>46193</v>
      </c>
      <c r="C358" t="s">
        <v>24</v>
      </c>
      <c r="D358" t="s">
        <v>46</v>
      </c>
      <c r="E358">
        <v>2</v>
      </c>
      <c r="F358">
        <v>46173</v>
      </c>
      <c r="G358" t="s">
        <v>46</v>
      </c>
      <c r="H358" t="s">
        <v>188</v>
      </c>
      <c r="I358">
        <v>1</v>
      </c>
      <c r="J358">
        <v>0</v>
      </c>
      <c r="K358" t="s">
        <v>171</v>
      </c>
      <c r="L358">
        <v>1</v>
      </c>
      <c r="M358" t="s">
        <v>172</v>
      </c>
      <c r="N358">
        <v>1206</v>
      </c>
    </row>
    <row r="359" spans="1:14">
      <c r="A359">
        <v>36</v>
      </c>
      <c r="B359">
        <v>46193</v>
      </c>
      <c r="C359" t="s">
        <v>24</v>
      </c>
      <c r="D359" t="s">
        <v>46</v>
      </c>
      <c r="E359">
        <v>3</v>
      </c>
      <c r="F359">
        <v>46112</v>
      </c>
      <c r="G359" t="s">
        <v>46</v>
      </c>
      <c r="H359" t="s">
        <v>72</v>
      </c>
      <c r="I359">
        <v>1</v>
      </c>
      <c r="J359">
        <v>0</v>
      </c>
      <c r="K359" t="s">
        <v>171</v>
      </c>
      <c r="L359">
        <v>1</v>
      </c>
      <c r="M359" t="s">
        <v>172</v>
      </c>
      <c r="N359">
        <v>1142</v>
      </c>
    </row>
    <row r="360" spans="1:14">
      <c r="A360">
        <v>36</v>
      </c>
      <c r="B360">
        <v>46193</v>
      </c>
      <c r="C360" t="s">
        <v>24</v>
      </c>
      <c r="D360" t="s">
        <v>46</v>
      </c>
      <c r="E360">
        <v>4</v>
      </c>
      <c r="F360">
        <v>46109</v>
      </c>
      <c r="G360" t="s">
        <v>46</v>
      </c>
      <c r="H360" t="s">
        <v>32</v>
      </c>
      <c r="I360">
        <v>1</v>
      </c>
      <c r="J360">
        <v>0</v>
      </c>
      <c r="K360" t="s">
        <v>171</v>
      </c>
      <c r="L360">
        <v>1</v>
      </c>
      <c r="M360" t="s">
        <v>172</v>
      </c>
      <c r="N360">
        <v>1100</v>
      </c>
    </row>
    <row r="361" spans="1:14">
      <c r="A361">
        <v>36</v>
      </c>
      <c r="B361">
        <v>46193</v>
      </c>
      <c r="C361" t="s">
        <v>24</v>
      </c>
      <c r="D361" t="s">
        <v>46</v>
      </c>
      <c r="E361">
        <v>5</v>
      </c>
      <c r="F361">
        <v>45979</v>
      </c>
      <c r="G361" t="s">
        <v>46</v>
      </c>
      <c r="H361" t="s">
        <v>196</v>
      </c>
      <c r="I361">
        <v>3</v>
      </c>
      <c r="J361">
        <v>0</v>
      </c>
      <c r="K361" t="s">
        <v>171</v>
      </c>
      <c r="L361">
        <v>1</v>
      </c>
      <c r="M361" t="s">
        <v>211</v>
      </c>
      <c r="N361">
        <v>881</v>
      </c>
    </row>
    <row r="362" spans="1:14">
      <c r="A362">
        <v>37</v>
      </c>
      <c r="B362">
        <v>46194</v>
      </c>
      <c r="C362" t="s">
        <v>19</v>
      </c>
      <c r="D362" t="s">
        <v>51</v>
      </c>
      <c r="E362">
        <v>1</v>
      </c>
      <c r="F362">
        <v>46188</v>
      </c>
      <c r="G362" t="s">
        <v>51</v>
      </c>
      <c r="H362" t="s">
        <v>50</v>
      </c>
      <c r="I362">
        <v>1</v>
      </c>
      <c r="J362">
        <v>1</v>
      </c>
      <c r="K362" t="s">
        <v>27</v>
      </c>
      <c r="L362">
        <v>0</v>
      </c>
      <c r="M362" t="s">
        <v>242</v>
      </c>
      <c r="N362">
        <v>1350</v>
      </c>
    </row>
    <row r="363" spans="1:14">
      <c r="A363">
        <v>37</v>
      </c>
      <c r="B363">
        <v>46194</v>
      </c>
      <c r="C363" t="s">
        <v>19</v>
      </c>
      <c r="D363" t="s">
        <v>51</v>
      </c>
      <c r="E363">
        <v>2</v>
      </c>
      <c r="F363">
        <v>46112</v>
      </c>
      <c r="G363" t="s">
        <v>51</v>
      </c>
      <c r="H363" t="s">
        <v>66</v>
      </c>
      <c r="I363">
        <v>0</v>
      </c>
      <c r="J363">
        <v>0</v>
      </c>
      <c r="K363" t="s">
        <v>27</v>
      </c>
      <c r="L363">
        <v>0</v>
      </c>
      <c r="M363" t="s">
        <v>172</v>
      </c>
      <c r="N363">
        <v>1134</v>
      </c>
    </row>
    <row r="364" spans="1:14">
      <c r="A364">
        <v>37</v>
      </c>
      <c r="B364">
        <v>46194</v>
      </c>
      <c r="C364" t="s">
        <v>19</v>
      </c>
      <c r="D364" t="s">
        <v>51</v>
      </c>
      <c r="E364">
        <v>3</v>
      </c>
      <c r="F364">
        <v>46108</v>
      </c>
      <c r="G364" t="s">
        <v>51</v>
      </c>
      <c r="H364" t="s">
        <v>72</v>
      </c>
      <c r="I364">
        <v>1</v>
      </c>
      <c r="J364">
        <v>1</v>
      </c>
      <c r="K364" t="s">
        <v>27</v>
      </c>
      <c r="L364">
        <v>0</v>
      </c>
      <c r="M364" t="s">
        <v>172</v>
      </c>
      <c r="N364">
        <v>1062</v>
      </c>
    </row>
    <row r="365" spans="1:14">
      <c r="A365">
        <v>37</v>
      </c>
      <c r="B365">
        <v>46194</v>
      </c>
      <c r="C365" t="s">
        <v>19</v>
      </c>
      <c r="D365" t="s">
        <v>51</v>
      </c>
      <c r="E365">
        <v>4</v>
      </c>
      <c r="F365">
        <v>45979</v>
      </c>
      <c r="G365" t="s">
        <v>51</v>
      </c>
      <c r="H365" t="s">
        <v>193</v>
      </c>
      <c r="I365">
        <v>1</v>
      </c>
      <c r="J365">
        <v>5</v>
      </c>
      <c r="K365" t="s">
        <v>69</v>
      </c>
      <c r="L365">
        <v>0</v>
      </c>
      <c r="M365" t="s">
        <v>172</v>
      </c>
      <c r="N365">
        <v>904</v>
      </c>
    </row>
    <row r="366" spans="1:14">
      <c r="A366">
        <v>37</v>
      </c>
      <c r="B366">
        <v>46194</v>
      </c>
      <c r="C366" t="s">
        <v>19</v>
      </c>
      <c r="D366" t="s">
        <v>51</v>
      </c>
      <c r="E366">
        <v>5</v>
      </c>
      <c r="F366">
        <v>45976</v>
      </c>
      <c r="G366" t="s">
        <v>51</v>
      </c>
      <c r="H366" t="s">
        <v>20</v>
      </c>
      <c r="I366">
        <v>0</v>
      </c>
      <c r="J366">
        <v>0</v>
      </c>
      <c r="K366" t="s">
        <v>27</v>
      </c>
      <c r="L366">
        <v>0</v>
      </c>
      <c r="M366" t="s">
        <v>172</v>
      </c>
      <c r="N366">
        <v>829</v>
      </c>
    </row>
    <row r="367" spans="1:14">
      <c r="A367">
        <v>37</v>
      </c>
      <c r="B367">
        <v>46194</v>
      </c>
      <c r="C367" t="s">
        <v>24</v>
      </c>
      <c r="D367" t="s">
        <v>53</v>
      </c>
      <c r="E367">
        <v>1</v>
      </c>
      <c r="F367">
        <v>46188</v>
      </c>
      <c r="G367" t="s">
        <v>217</v>
      </c>
      <c r="H367" t="s">
        <v>52</v>
      </c>
      <c r="I367">
        <v>0</v>
      </c>
      <c r="J367">
        <v>0</v>
      </c>
      <c r="K367" t="s">
        <v>27</v>
      </c>
      <c r="L367">
        <v>0</v>
      </c>
      <c r="M367" t="s">
        <v>242</v>
      </c>
      <c r="N367">
        <v>1349</v>
      </c>
    </row>
    <row r="368" spans="1:14">
      <c r="A368">
        <v>37</v>
      </c>
      <c r="B368">
        <v>46194</v>
      </c>
      <c r="C368" t="s">
        <v>24</v>
      </c>
      <c r="D368" t="s">
        <v>53</v>
      </c>
      <c r="E368">
        <v>2</v>
      </c>
      <c r="F368">
        <v>46179</v>
      </c>
      <c r="G368" t="s">
        <v>217</v>
      </c>
      <c r="H368" t="s">
        <v>218</v>
      </c>
      <c r="I368">
        <v>0</v>
      </c>
      <c r="J368">
        <v>3</v>
      </c>
      <c r="K368" t="s">
        <v>69</v>
      </c>
      <c r="L368">
        <v>0</v>
      </c>
      <c r="M368" t="s">
        <v>172</v>
      </c>
      <c r="N368">
        <v>1276</v>
      </c>
    </row>
    <row r="369" spans="1:14">
      <c r="A369">
        <v>37</v>
      </c>
      <c r="B369">
        <v>46194</v>
      </c>
      <c r="C369" t="s">
        <v>24</v>
      </c>
      <c r="D369" t="s">
        <v>53</v>
      </c>
      <c r="E369">
        <v>3</v>
      </c>
      <c r="F369">
        <v>46173</v>
      </c>
      <c r="G369" t="s">
        <v>217</v>
      </c>
      <c r="H369" t="s">
        <v>170</v>
      </c>
      <c r="I369">
        <v>3</v>
      </c>
      <c r="J369">
        <v>0</v>
      </c>
      <c r="K369" t="s">
        <v>171</v>
      </c>
      <c r="L369">
        <v>1</v>
      </c>
      <c r="M369" t="s">
        <v>172</v>
      </c>
      <c r="N369">
        <v>1199</v>
      </c>
    </row>
    <row r="370" spans="1:14">
      <c r="A370">
        <v>37</v>
      </c>
      <c r="B370">
        <v>46194</v>
      </c>
      <c r="C370" t="s">
        <v>24</v>
      </c>
      <c r="D370" t="s">
        <v>53</v>
      </c>
      <c r="E370">
        <v>4</v>
      </c>
      <c r="F370">
        <v>46111</v>
      </c>
      <c r="G370" t="s">
        <v>217</v>
      </c>
      <c r="H370" t="s">
        <v>206</v>
      </c>
      <c r="I370">
        <v>1</v>
      </c>
      <c r="J370">
        <v>1</v>
      </c>
      <c r="K370" t="s">
        <v>27</v>
      </c>
      <c r="L370">
        <v>0</v>
      </c>
      <c r="M370" t="s">
        <v>197</v>
      </c>
      <c r="N370">
        <v>1126</v>
      </c>
    </row>
    <row r="371" spans="1:14">
      <c r="A371">
        <v>37</v>
      </c>
      <c r="B371">
        <v>46194</v>
      </c>
      <c r="C371" t="s">
        <v>24</v>
      </c>
      <c r="D371" t="s">
        <v>53</v>
      </c>
      <c r="E371">
        <v>5</v>
      </c>
      <c r="F371">
        <v>46108</v>
      </c>
      <c r="G371" t="s">
        <v>217</v>
      </c>
      <c r="H371" t="s">
        <v>219</v>
      </c>
      <c r="I371">
        <v>2</v>
      </c>
      <c r="J371">
        <v>4</v>
      </c>
      <c r="K371" t="s">
        <v>69</v>
      </c>
      <c r="L371">
        <v>0</v>
      </c>
      <c r="M371" t="s">
        <v>197</v>
      </c>
      <c r="N371">
        <v>1082</v>
      </c>
    </row>
    <row r="372" spans="1:14">
      <c r="A372">
        <v>38</v>
      </c>
      <c r="B372">
        <v>46194</v>
      </c>
      <c r="C372" t="s">
        <v>19</v>
      </c>
      <c r="D372" t="s">
        <v>52</v>
      </c>
      <c r="E372">
        <v>1</v>
      </c>
      <c r="F372">
        <v>46188</v>
      </c>
      <c r="G372" t="s">
        <v>52</v>
      </c>
      <c r="H372" t="s">
        <v>217</v>
      </c>
      <c r="I372">
        <v>0</v>
      </c>
      <c r="J372">
        <v>0</v>
      </c>
      <c r="K372" t="s">
        <v>27</v>
      </c>
      <c r="L372">
        <v>0</v>
      </c>
      <c r="M372" t="s">
        <v>242</v>
      </c>
      <c r="N372">
        <v>1349</v>
      </c>
    </row>
    <row r="373" spans="1:14">
      <c r="A373">
        <v>38</v>
      </c>
      <c r="B373">
        <v>46194</v>
      </c>
      <c r="C373" t="s">
        <v>19</v>
      </c>
      <c r="D373" t="s">
        <v>52</v>
      </c>
      <c r="E373">
        <v>2</v>
      </c>
      <c r="F373">
        <v>46181</v>
      </c>
      <c r="G373" t="s">
        <v>52</v>
      </c>
      <c r="H373" t="s">
        <v>195</v>
      </c>
      <c r="I373">
        <v>3</v>
      </c>
      <c r="J373">
        <v>1</v>
      </c>
      <c r="K373" t="s">
        <v>171</v>
      </c>
      <c r="L373">
        <v>1</v>
      </c>
      <c r="M373" t="s">
        <v>172</v>
      </c>
      <c r="N373">
        <v>1307</v>
      </c>
    </row>
    <row r="374" spans="1:14">
      <c r="A374">
        <v>38</v>
      </c>
      <c r="B374">
        <v>46194</v>
      </c>
      <c r="C374" t="s">
        <v>19</v>
      </c>
      <c r="D374" t="s">
        <v>52</v>
      </c>
      <c r="E374">
        <v>3</v>
      </c>
      <c r="F374">
        <v>46177</v>
      </c>
      <c r="G374" t="s">
        <v>52</v>
      </c>
      <c r="H374" t="s">
        <v>62</v>
      </c>
      <c r="I374">
        <v>1</v>
      </c>
      <c r="J374">
        <v>1</v>
      </c>
      <c r="K374" t="s">
        <v>27</v>
      </c>
      <c r="L374">
        <v>0</v>
      </c>
      <c r="M374" t="s">
        <v>172</v>
      </c>
      <c r="N374">
        <v>1245</v>
      </c>
    </row>
    <row r="375" spans="1:14">
      <c r="A375">
        <v>38</v>
      </c>
      <c r="B375">
        <v>46194</v>
      </c>
      <c r="C375" t="s">
        <v>19</v>
      </c>
      <c r="D375" t="s">
        <v>52</v>
      </c>
      <c r="E375">
        <v>4</v>
      </c>
      <c r="F375">
        <v>46112</v>
      </c>
      <c r="G375" t="s">
        <v>52</v>
      </c>
      <c r="H375" t="s">
        <v>58</v>
      </c>
      <c r="I375">
        <v>0</v>
      </c>
      <c r="J375">
        <v>0</v>
      </c>
      <c r="K375" t="s">
        <v>27</v>
      </c>
      <c r="L375">
        <v>0</v>
      </c>
      <c r="M375" t="s">
        <v>172</v>
      </c>
      <c r="N375">
        <v>1164</v>
      </c>
    </row>
    <row r="376" spans="1:14">
      <c r="A376">
        <v>38</v>
      </c>
      <c r="B376">
        <v>46194</v>
      </c>
      <c r="C376" t="s">
        <v>19</v>
      </c>
      <c r="D376" t="s">
        <v>52</v>
      </c>
      <c r="E376">
        <v>5</v>
      </c>
      <c r="F376">
        <v>46108</v>
      </c>
      <c r="G376" t="s">
        <v>52</v>
      </c>
      <c r="H376" t="s">
        <v>170</v>
      </c>
      <c r="I376">
        <v>3</v>
      </c>
      <c r="J376">
        <v>0</v>
      </c>
      <c r="K376" t="s">
        <v>171</v>
      </c>
      <c r="L376">
        <v>1</v>
      </c>
      <c r="M376" t="s">
        <v>172</v>
      </c>
      <c r="N376">
        <v>1072</v>
      </c>
    </row>
    <row r="377" spans="1:14">
      <c r="A377">
        <v>38</v>
      </c>
      <c r="B377">
        <v>46194</v>
      </c>
      <c r="C377" t="s">
        <v>24</v>
      </c>
      <c r="D377" t="s">
        <v>50</v>
      </c>
      <c r="E377">
        <v>1</v>
      </c>
      <c r="F377">
        <v>46188</v>
      </c>
      <c r="G377" t="s">
        <v>50</v>
      </c>
      <c r="H377" t="s">
        <v>51</v>
      </c>
      <c r="I377">
        <v>1</v>
      </c>
      <c r="J377">
        <v>1</v>
      </c>
      <c r="K377" t="s">
        <v>27</v>
      </c>
      <c r="L377">
        <v>0</v>
      </c>
      <c r="M377" t="s">
        <v>242</v>
      </c>
      <c r="N377">
        <v>1350</v>
      </c>
    </row>
    <row r="378" spans="1:14">
      <c r="A378">
        <v>38</v>
      </c>
      <c r="B378">
        <v>46194</v>
      </c>
      <c r="C378" t="s">
        <v>24</v>
      </c>
      <c r="D378" t="s">
        <v>50</v>
      </c>
      <c r="E378">
        <v>2</v>
      </c>
      <c r="F378">
        <v>46182</v>
      </c>
      <c r="G378" t="s">
        <v>50</v>
      </c>
      <c r="H378" t="s">
        <v>61</v>
      </c>
      <c r="I378">
        <v>0</v>
      </c>
      <c r="J378">
        <v>0</v>
      </c>
      <c r="K378" t="s">
        <v>27</v>
      </c>
      <c r="L378">
        <v>0</v>
      </c>
      <c r="M378" t="s">
        <v>172</v>
      </c>
      <c r="N378">
        <v>1322</v>
      </c>
    </row>
    <row r="379" spans="1:14">
      <c r="A379">
        <v>38</v>
      </c>
      <c r="B379">
        <v>46194</v>
      </c>
      <c r="C379" t="s">
        <v>24</v>
      </c>
      <c r="D379" t="s">
        <v>50</v>
      </c>
      <c r="E379">
        <v>3</v>
      </c>
      <c r="F379">
        <v>46178</v>
      </c>
      <c r="G379" t="s">
        <v>50</v>
      </c>
      <c r="H379" t="s">
        <v>216</v>
      </c>
      <c r="I379">
        <v>3</v>
      </c>
      <c r="J379">
        <v>0</v>
      </c>
      <c r="K379" t="s">
        <v>171</v>
      </c>
      <c r="L379">
        <v>1</v>
      </c>
      <c r="M379" t="s">
        <v>172</v>
      </c>
      <c r="N379">
        <v>1266</v>
      </c>
    </row>
    <row r="380" spans="1:14">
      <c r="A380">
        <v>38</v>
      </c>
      <c r="B380">
        <v>46194</v>
      </c>
      <c r="C380" t="s">
        <v>24</v>
      </c>
      <c r="D380" t="s">
        <v>50</v>
      </c>
      <c r="E380">
        <v>4</v>
      </c>
      <c r="F380">
        <v>46172</v>
      </c>
      <c r="G380" t="s">
        <v>50</v>
      </c>
      <c r="H380" t="s">
        <v>41</v>
      </c>
      <c r="I380">
        <v>1</v>
      </c>
      <c r="J380">
        <v>2</v>
      </c>
      <c r="K380" t="s">
        <v>69</v>
      </c>
      <c r="L380">
        <v>0</v>
      </c>
      <c r="M380" t="s">
        <v>172</v>
      </c>
      <c r="N380">
        <v>1192</v>
      </c>
    </row>
    <row r="381" spans="1:14">
      <c r="A381">
        <v>38</v>
      </c>
      <c r="B381">
        <v>46194</v>
      </c>
      <c r="C381" t="s">
        <v>24</v>
      </c>
      <c r="D381" t="s">
        <v>50</v>
      </c>
      <c r="E381">
        <v>5</v>
      </c>
      <c r="F381">
        <v>46112</v>
      </c>
      <c r="G381" t="s">
        <v>50</v>
      </c>
      <c r="H381" t="s">
        <v>170</v>
      </c>
      <c r="I381">
        <v>1</v>
      </c>
      <c r="J381">
        <v>2</v>
      </c>
      <c r="K381" t="s">
        <v>69</v>
      </c>
      <c r="L381">
        <v>0</v>
      </c>
      <c r="M381" t="s">
        <v>172</v>
      </c>
      <c r="N381">
        <v>1161</v>
      </c>
    </row>
    <row r="382" spans="1:14">
      <c r="A382">
        <v>39</v>
      </c>
      <c r="B382">
        <v>46194</v>
      </c>
      <c r="C382" t="s">
        <v>19</v>
      </c>
      <c r="D382" t="s">
        <v>57</v>
      </c>
      <c r="E382">
        <v>1</v>
      </c>
      <c r="F382">
        <v>46188</v>
      </c>
      <c r="G382" t="s">
        <v>57</v>
      </c>
      <c r="H382" t="s">
        <v>58</v>
      </c>
      <c r="I382">
        <v>1</v>
      </c>
      <c r="J382">
        <v>1</v>
      </c>
      <c r="K382" t="s">
        <v>27</v>
      </c>
      <c r="L382">
        <v>0</v>
      </c>
      <c r="M382" t="s">
        <v>242</v>
      </c>
      <c r="N382">
        <v>1347</v>
      </c>
    </row>
    <row r="383" spans="1:14">
      <c r="A383">
        <v>39</v>
      </c>
      <c r="B383">
        <v>46194</v>
      </c>
      <c r="C383" t="s">
        <v>19</v>
      </c>
      <c r="D383" t="s">
        <v>57</v>
      </c>
      <c r="E383">
        <v>2</v>
      </c>
      <c r="F383">
        <v>46179</v>
      </c>
      <c r="G383" t="s">
        <v>57</v>
      </c>
      <c r="H383" t="s">
        <v>48</v>
      </c>
      <c r="I383">
        <v>5</v>
      </c>
      <c r="J383">
        <v>0</v>
      </c>
      <c r="K383" t="s">
        <v>171</v>
      </c>
      <c r="L383">
        <v>1</v>
      </c>
      <c r="M383" t="s">
        <v>172</v>
      </c>
      <c r="N383">
        <v>1275</v>
      </c>
    </row>
    <row r="384" spans="1:14">
      <c r="A384">
        <v>39</v>
      </c>
      <c r="B384">
        <v>46194</v>
      </c>
      <c r="C384" t="s">
        <v>19</v>
      </c>
      <c r="D384" t="s">
        <v>57</v>
      </c>
      <c r="E384">
        <v>3</v>
      </c>
      <c r="F384">
        <v>46175</v>
      </c>
      <c r="G384" t="s">
        <v>57</v>
      </c>
      <c r="H384" t="s">
        <v>73</v>
      </c>
      <c r="I384">
        <v>2</v>
      </c>
      <c r="J384">
        <v>0</v>
      </c>
      <c r="K384" t="s">
        <v>171</v>
      </c>
      <c r="L384">
        <v>1</v>
      </c>
      <c r="M384" t="s">
        <v>172</v>
      </c>
      <c r="N384">
        <v>1215</v>
      </c>
    </row>
    <row r="385" spans="1:14">
      <c r="A385">
        <v>39</v>
      </c>
      <c r="B385">
        <v>46194</v>
      </c>
      <c r="C385" t="s">
        <v>19</v>
      </c>
      <c r="D385" t="s">
        <v>57</v>
      </c>
      <c r="E385">
        <v>4</v>
      </c>
      <c r="F385">
        <v>46112</v>
      </c>
      <c r="G385" t="s">
        <v>57</v>
      </c>
      <c r="H385" t="s">
        <v>20</v>
      </c>
      <c r="I385">
        <v>1</v>
      </c>
      <c r="J385">
        <v>1</v>
      </c>
      <c r="K385" t="s">
        <v>27</v>
      </c>
      <c r="L385">
        <v>0</v>
      </c>
      <c r="M385" t="s">
        <v>172</v>
      </c>
      <c r="N385">
        <v>1150</v>
      </c>
    </row>
    <row r="386" spans="1:14">
      <c r="A386">
        <v>39</v>
      </c>
      <c r="B386">
        <v>46194</v>
      </c>
      <c r="C386" t="s">
        <v>19</v>
      </c>
      <c r="D386" t="s">
        <v>57</v>
      </c>
      <c r="E386">
        <v>5</v>
      </c>
      <c r="F386">
        <v>46109</v>
      </c>
      <c r="G386" t="s">
        <v>57</v>
      </c>
      <c r="H386" t="s">
        <v>193</v>
      </c>
      <c r="I386">
        <v>5</v>
      </c>
      <c r="J386">
        <v>2</v>
      </c>
      <c r="K386" t="s">
        <v>171</v>
      </c>
      <c r="L386">
        <v>1</v>
      </c>
      <c r="M386" t="s">
        <v>172</v>
      </c>
      <c r="N386">
        <v>1102</v>
      </c>
    </row>
    <row r="387" spans="1:14">
      <c r="A387">
        <v>39</v>
      </c>
      <c r="B387">
        <v>46194</v>
      </c>
      <c r="C387" t="s">
        <v>24</v>
      </c>
      <c r="D387" t="s">
        <v>55</v>
      </c>
      <c r="E387">
        <v>1</v>
      </c>
      <c r="F387">
        <v>46188</v>
      </c>
      <c r="G387" t="s">
        <v>221</v>
      </c>
      <c r="H387" t="s">
        <v>56</v>
      </c>
      <c r="I387">
        <v>2</v>
      </c>
      <c r="J387">
        <v>2</v>
      </c>
      <c r="K387" t="s">
        <v>27</v>
      </c>
      <c r="L387">
        <v>0</v>
      </c>
      <c r="M387" t="s">
        <v>242</v>
      </c>
      <c r="N387">
        <v>1348</v>
      </c>
    </row>
    <row r="388" spans="1:14">
      <c r="A388">
        <v>39</v>
      </c>
      <c r="B388">
        <v>46194</v>
      </c>
      <c r="C388" t="s">
        <v>24</v>
      </c>
      <c r="D388" t="s">
        <v>55</v>
      </c>
      <c r="E388">
        <v>2</v>
      </c>
      <c r="F388">
        <v>46177</v>
      </c>
      <c r="G388" t="s">
        <v>221</v>
      </c>
      <c r="H388" t="s">
        <v>215</v>
      </c>
      <c r="I388">
        <v>2</v>
      </c>
      <c r="J388">
        <v>0</v>
      </c>
      <c r="K388" t="s">
        <v>171</v>
      </c>
      <c r="L388">
        <v>1</v>
      </c>
      <c r="M388" t="s">
        <v>172</v>
      </c>
      <c r="N388">
        <v>1240</v>
      </c>
    </row>
    <row r="389" spans="1:14">
      <c r="A389">
        <v>39</v>
      </c>
      <c r="B389">
        <v>46194</v>
      </c>
      <c r="C389" t="s">
        <v>24</v>
      </c>
      <c r="D389" t="s">
        <v>55</v>
      </c>
      <c r="E389">
        <v>3</v>
      </c>
      <c r="F389">
        <v>46171</v>
      </c>
      <c r="G389" t="s">
        <v>221</v>
      </c>
      <c r="H389" t="s">
        <v>222</v>
      </c>
      <c r="I389">
        <v>3</v>
      </c>
      <c r="J389">
        <v>1</v>
      </c>
      <c r="K389" t="s">
        <v>171</v>
      </c>
      <c r="L389">
        <v>1</v>
      </c>
      <c r="M389" t="s">
        <v>172</v>
      </c>
      <c r="N389">
        <v>1190</v>
      </c>
    </row>
    <row r="390" spans="1:14">
      <c r="A390">
        <v>39</v>
      </c>
      <c r="B390">
        <v>46194</v>
      </c>
      <c r="C390" t="s">
        <v>24</v>
      </c>
      <c r="D390" t="s">
        <v>55</v>
      </c>
      <c r="E390">
        <v>4</v>
      </c>
      <c r="F390">
        <v>46112</v>
      </c>
      <c r="G390" t="s">
        <v>221</v>
      </c>
      <c r="H390" t="s">
        <v>223</v>
      </c>
      <c r="I390">
        <v>5</v>
      </c>
      <c r="J390">
        <v>0</v>
      </c>
      <c r="K390" t="s">
        <v>171</v>
      </c>
      <c r="L390">
        <v>1</v>
      </c>
      <c r="M390" t="s">
        <v>224</v>
      </c>
      <c r="N390">
        <v>1141</v>
      </c>
    </row>
    <row r="391" spans="1:14">
      <c r="A391">
        <v>39</v>
      </c>
      <c r="B391">
        <v>46194</v>
      </c>
      <c r="C391" t="s">
        <v>24</v>
      </c>
      <c r="D391" t="s">
        <v>55</v>
      </c>
      <c r="E391">
        <v>5</v>
      </c>
      <c r="F391">
        <v>46108</v>
      </c>
      <c r="G391" t="s">
        <v>221</v>
      </c>
      <c r="H391" t="s">
        <v>225</v>
      </c>
      <c r="I391">
        <v>1</v>
      </c>
      <c r="J391">
        <v>2</v>
      </c>
      <c r="K391" t="s">
        <v>69</v>
      </c>
      <c r="L391">
        <v>0</v>
      </c>
      <c r="M391" t="s">
        <v>224</v>
      </c>
      <c r="N391">
        <v>1076</v>
      </c>
    </row>
    <row r="392" spans="1:14">
      <c r="A392">
        <v>40</v>
      </c>
      <c r="B392">
        <v>46194</v>
      </c>
      <c r="C392" t="s">
        <v>19</v>
      </c>
      <c r="D392" t="s">
        <v>56</v>
      </c>
      <c r="E392">
        <v>1</v>
      </c>
      <c r="F392">
        <v>46188</v>
      </c>
      <c r="G392" t="s">
        <v>56</v>
      </c>
      <c r="H392" t="s">
        <v>221</v>
      </c>
      <c r="I392">
        <v>2</v>
      </c>
      <c r="J392">
        <v>2</v>
      </c>
      <c r="K392" t="s">
        <v>27</v>
      </c>
      <c r="L392">
        <v>0</v>
      </c>
      <c r="M392" t="s">
        <v>242</v>
      </c>
      <c r="N392">
        <v>1348</v>
      </c>
    </row>
    <row r="393" spans="1:14">
      <c r="A393">
        <v>40</v>
      </c>
      <c r="B393">
        <v>46194</v>
      </c>
      <c r="C393" t="s">
        <v>19</v>
      </c>
      <c r="D393" t="s">
        <v>56</v>
      </c>
      <c r="E393">
        <v>2</v>
      </c>
      <c r="F393">
        <v>46179</v>
      </c>
      <c r="G393" t="s">
        <v>56</v>
      </c>
      <c r="H393" t="s">
        <v>72</v>
      </c>
      <c r="I393">
        <v>0</v>
      </c>
      <c r="J393">
        <v>1</v>
      </c>
      <c r="K393" t="s">
        <v>69</v>
      </c>
      <c r="L393">
        <v>0</v>
      </c>
      <c r="M393" t="s">
        <v>172</v>
      </c>
      <c r="N393">
        <v>1280</v>
      </c>
    </row>
    <row r="394" spans="1:14">
      <c r="A394">
        <v>40</v>
      </c>
      <c r="B394">
        <v>46194</v>
      </c>
      <c r="C394" t="s">
        <v>19</v>
      </c>
      <c r="D394" t="s">
        <v>56</v>
      </c>
      <c r="E394">
        <v>3</v>
      </c>
      <c r="F394">
        <v>46175</v>
      </c>
      <c r="G394" t="s">
        <v>56</v>
      </c>
      <c r="H394" t="s">
        <v>31</v>
      </c>
      <c r="I394">
        <v>0</v>
      </c>
      <c r="J394">
        <v>4</v>
      </c>
      <c r="K394" t="s">
        <v>69</v>
      </c>
      <c r="L394">
        <v>0</v>
      </c>
      <c r="M394" t="s">
        <v>172</v>
      </c>
      <c r="N394">
        <v>1217</v>
      </c>
    </row>
    <row r="395" spans="1:14">
      <c r="A395">
        <v>40</v>
      </c>
      <c r="B395">
        <v>46194</v>
      </c>
      <c r="C395" t="s">
        <v>19</v>
      </c>
      <c r="D395" t="s">
        <v>56</v>
      </c>
      <c r="E395">
        <v>4</v>
      </c>
      <c r="F395">
        <v>46111</v>
      </c>
      <c r="G395" t="s">
        <v>56</v>
      </c>
      <c r="H395" t="s">
        <v>219</v>
      </c>
      <c r="I395">
        <v>4</v>
      </c>
      <c r="J395">
        <v>1</v>
      </c>
      <c r="K395" t="s">
        <v>171</v>
      </c>
      <c r="L395">
        <v>1</v>
      </c>
      <c r="M395" t="s">
        <v>197</v>
      </c>
      <c r="N395">
        <v>1127</v>
      </c>
    </row>
    <row r="396" spans="1:14">
      <c r="A396">
        <v>40</v>
      </c>
      <c r="B396">
        <v>46194</v>
      </c>
      <c r="C396" t="s">
        <v>19</v>
      </c>
      <c r="D396" t="s">
        <v>56</v>
      </c>
      <c r="E396">
        <v>5</v>
      </c>
      <c r="F396">
        <v>46108</v>
      </c>
      <c r="G396" t="s">
        <v>56</v>
      </c>
      <c r="H396" t="s">
        <v>206</v>
      </c>
      <c r="I396">
        <v>0</v>
      </c>
      <c r="J396">
        <v>2</v>
      </c>
      <c r="K396" t="s">
        <v>69</v>
      </c>
      <c r="L396">
        <v>0</v>
      </c>
      <c r="M396" t="s">
        <v>197</v>
      </c>
      <c r="N396">
        <v>1083</v>
      </c>
    </row>
    <row r="397" spans="1:14">
      <c r="A397">
        <v>40</v>
      </c>
      <c r="B397">
        <v>46194</v>
      </c>
      <c r="C397" t="s">
        <v>24</v>
      </c>
      <c r="D397" t="s">
        <v>58</v>
      </c>
      <c r="E397">
        <v>1</v>
      </c>
      <c r="F397">
        <v>46188</v>
      </c>
      <c r="G397" t="s">
        <v>58</v>
      </c>
      <c r="H397" t="s">
        <v>57</v>
      </c>
      <c r="I397">
        <v>1</v>
      </c>
      <c r="J397">
        <v>1</v>
      </c>
      <c r="K397" t="s">
        <v>27</v>
      </c>
      <c r="L397">
        <v>0</v>
      </c>
      <c r="M397" t="s">
        <v>242</v>
      </c>
      <c r="N397">
        <v>1347</v>
      </c>
    </row>
    <row r="398" spans="1:14">
      <c r="A398">
        <v>40</v>
      </c>
      <c r="B398">
        <v>46194</v>
      </c>
      <c r="C398" t="s">
        <v>24</v>
      </c>
      <c r="D398" t="s">
        <v>58</v>
      </c>
      <c r="E398">
        <v>2</v>
      </c>
      <c r="F398">
        <v>46179</v>
      </c>
      <c r="G398" t="s">
        <v>58</v>
      </c>
      <c r="H398" t="s">
        <v>35</v>
      </c>
      <c r="I398">
        <v>1</v>
      </c>
      <c r="J398">
        <v>2</v>
      </c>
      <c r="K398" t="s">
        <v>69</v>
      </c>
      <c r="L398">
        <v>0</v>
      </c>
      <c r="M398" t="s">
        <v>172</v>
      </c>
      <c r="N398">
        <v>1278</v>
      </c>
    </row>
    <row r="399" spans="1:14">
      <c r="A399">
        <v>40</v>
      </c>
      <c r="B399">
        <v>46194</v>
      </c>
      <c r="C399" t="s">
        <v>24</v>
      </c>
      <c r="D399" t="s">
        <v>58</v>
      </c>
      <c r="E399">
        <v>3</v>
      </c>
      <c r="F399">
        <v>46170</v>
      </c>
      <c r="G399" t="s">
        <v>58</v>
      </c>
      <c r="H399" t="s">
        <v>227</v>
      </c>
      <c r="I399">
        <v>1</v>
      </c>
      <c r="J399">
        <v>0</v>
      </c>
      <c r="K399" t="s">
        <v>171</v>
      </c>
      <c r="L399">
        <v>1</v>
      </c>
      <c r="M399" t="s">
        <v>172</v>
      </c>
      <c r="N399">
        <v>1187</v>
      </c>
    </row>
    <row r="400" spans="1:14">
      <c r="A400">
        <v>40</v>
      </c>
      <c r="B400">
        <v>46194</v>
      </c>
      <c r="C400" t="s">
        <v>24</v>
      </c>
      <c r="D400" t="s">
        <v>58</v>
      </c>
      <c r="E400">
        <v>4</v>
      </c>
      <c r="F400">
        <v>46112</v>
      </c>
      <c r="G400" t="s">
        <v>58</v>
      </c>
      <c r="H400" t="s">
        <v>52</v>
      </c>
      <c r="I400">
        <v>0</v>
      </c>
      <c r="J400">
        <v>0</v>
      </c>
      <c r="K400" t="s">
        <v>27</v>
      </c>
      <c r="L400">
        <v>0</v>
      </c>
      <c r="M400" t="s">
        <v>172</v>
      </c>
      <c r="N400">
        <v>1164</v>
      </c>
    </row>
    <row r="401" spans="1:14">
      <c r="A401">
        <v>40</v>
      </c>
      <c r="B401">
        <v>46194</v>
      </c>
      <c r="C401" t="s">
        <v>24</v>
      </c>
      <c r="D401" t="s">
        <v>58</v>
      </c>
      <c r="E401">
        <v>5</v>
      </c>
      <c r="F401">
        <v>46108</v>
      </c>
      <c r="G401" t="s">
        <v>58</v>
      </c>
      <c r="H401" t="s">
        <v>50</v>
      </c>
      <c r="I401">
        <v>4</v>
      </c>
      <c r="J401">
        <v>0</v>
      </c>
      <c r="K401" t="s">
        <v>171</v>
      </c>
      <c r="L401">
        <v>1</v>
      </c>
      <c r="M401" t="s">
        <v>172</v>
      </c>
      <c r="N401">
        <v>1070</v>
      </c>
    </row>
    <row r="402" spans="1:14">
      <c r="A402">
        <v>41</v>
      </c>
      <c r="B402">
        <v>46195</v>
      </c>
      <c r="C402" t="s">
        <v>19</v>
      </c>
      <c r="D402" t="s">
        <v>63</v>
      </c>
      <c r="E402">
        <v>1</v>
      </c>
      <c r="F402">
        <v>46189</v>
      </c>
      <c r="G402" t="s">
        <v>63</v>
      </c>
      <c r="H402" t="s">
        <v>62</v>
      </c>
      <c r="I402">
        <v>4</v>
      </c>
      <c r="J402">
        <v>1</v>
      </c>
      <c r="K402" t="s">
        <v>171</v>
      </c>
      <c r="L402">
        <v>1</v>
      </c>
      <c r="M402" t="s">
        <v>242</v>
      </c>
      <c r="N402">
        <v>1352</v>
      </c>
    </row>
    <row r="403" spans="1:14">
      <c r="A403">
        <v>41</v>
      </c>
      <c r="B403">
        <v>46195</v>
      </c>
      <c r="C403" t="s">
        <v>19</v>
      </c>
      <c r="D403" t="s">
        <v>63</v>
      </c>
      <c r="E403">
        <v>2</v>
      </c>
      <c r="F403">
        <v>46180</v>
      </c>
      <c r="G403" t="s">
        <v>63</v>
      </c>
      <c r="H403" t="s">
        <v>36</v>
      </c>
      <c r="I403">
        <v>1</v>
      </c>
      <c r="J403">
        <v>1</v>
      </c>
      <c r="K403" t="s">
        <v>27</v>
      </c>
      <c r="L403">
        <v>0</v>
      </c>
      <c r="M403" t="s">
        <v>172</v>
      </c>
      <c r="N403">
        <v>1303</v>
      </c>
    </row>
    <row r="404" spans="1:14">
      <c r="A404">
        <v>41</v>
      </c>
      <c r="B404">
        <v>46195</v>
      </c>
      <c r="C404" t="s">
        <v>19</v>
      </c>
      <c r="D404" t="s">
        <v>63</v>
      </c>
      <c r="E404">
        <v>3</v>
      </c>
      <c r="F404">
        <v>46174</v>
      </c>
      <c r="G404" t="s">
        <v>63</v>
      </c>
      <c r="H404" t="s">
        <v>47</v>
      </c>
      <c r="I404">
        <v>3</v>
      </c>
      <c r="J404">
        <v>1</v>
      </c>
      <c r="K404" t="s">
        <v>171</v>
      </c>
      <c r="L404">
        <v>1</v>
      </c>
      <c r="M404" t="s">
        <v>172</v>
      </c>
      <c r="N404">
        <v>1211</v>
      </c>
    </row>
    <row r="405" spans="1:14">
      <c r="A405">
        <v>41</v>
      </c>
      <c r="B405">
        <v>46195</v>
      </c>
      <c r="C405" t="s">
        <v>19</v>
      </c>
      <c r="D405" t="s">
        <v>63</v>
      </c>
      <c r="E405">
        <v>4</v>
      </c>
      <c r="F405">
        <v>46112</v>
      </c>
      <c r="G405" t="s">
        <v>63</v>
      </c>
      <c r="H405" t="s">
        <v>38</v>
      </c>
      <c r="I405">
        <v>0</v>
      </c>
      <c r="J405">
        <v>0</v>
      </c>
      <c r="K405" t="s">
        <v>27</v>
      </c>
      <c r="L405">
        <v>0</v>
      </c>
      <c r="M405" t="s">
        <v>172</v>
      </c>
      <c r="N405">
        <v>1155</v>
      </c>
    </row>
    <row r="406" spans="1:14">
      <c r="A406">
        <v>41</v>
      </c>
      <c r="B406">
        <v>46195</v>
      </c>
      <c r="C406" t="s">
        <v>19</v>
      </c>
      <c r="D406" t="s">
        <v>63</v>
      </c>
      <c r="E406">
        <v>5</v>
      </c>
      <c r="F406">
        <v>46108</v>
      </c>
      <c r="G406" t="s">
        <v>63</v>
      </c>
      <c r="H406" t="s">
        <v>45</v>
      </c>
      <c r="I406">
        <v>1</v>
      </c>
      <c r="J406">
        <v>2</v>
      </c>
      <c r="K406" t="s">
        <v>69</v>
      </c>
      <c r="L406">
        <v>0</v>
      </c>
      <c r="M406" t="s">
        <v>172</v>
      </c>
      <c r="N406">
        <v>1069</v>
      </c>
    </row>
    <row r="407" spans="1:14">
      <c r="A407">
        <v>41</v>
      </c>
      <c r="B407">
        <v>46195</v>
      </c>
      <c r="C407" t="s">
        <v>24</v>
      </c>
      <c r="D407" t="s">
        <v>61</v>
      </c>
      <c r="E407">
        <v>1</v>
      </c>
      <c r="F407">
        <v>46189</v>
      </c>
      <c r="G407" t="s">
        <v>61</v>
      </c>
      <c r="H407" t="s">
        <v>60</v>
      </c>
      <c r="I407">
        <v>1</v>
      </c>
      <c r="J407">
        <v>3</v>
      </c>
      <c r="K407" t="s">
        <v>69</v>
      </c>
      <c r="L407">
        <v>0</v>
      </c>
      <c r="M407" t="s">
        <v>242</v>
      </c>
      <c r="N407">
        <v>1351</v>
      </c>
    </row>
    <row r="408" spans="1:14">
      <c r="A408">
        <v>41</v>
      </c>
      <c r="B408">
        <v>46195</v>
      </c>
      <c r="C408" t="s">
        <v>24</v>
      </c>
      <c r="D408" t="s">
        <v>61</v>
      </c>
      <c r="E408">
        <v>2</v>
      </c>
      <c r="F408">
        <v>46182</v>
      </c>
      <c r="G408" t="s">
        <v>61</v>
      </c>
      <c r="H408" t="s">
        <v>50</v>
      </c>
      <c r="I408">
        <v>0</v>
      </c>
      <c r="J408">
        <v>0</v>
      </c>
      <c r="K408" t="s">
        <v>27</v>
      </c>
      <c r="L408">
        <v>0</v>
      </c>
      <c r="M408" t="s">
        <v>172</v>
      </c>
      <c r="N408">
        <v>1322</v>
      </c>
    </row>
    <row r="409" spans="1:14">
      <c r="A409">
        <v>41</v>
      </c>
      <c r="B409">
        <v>46195</v>
      </c>
      <c r="C409" t="s">
        <v>24</v>
      </c>
      <c r="D409" t="s">
        <v>61</v>
      </c>
      <c r="E409">
        <v>3</v>
      </c>
      <c r="F409">
        <v>46173</v>
      </c>
      <c r="G409" t="s">
        <v>61</v>
      </c>
      <c r="H409" t="s">
        <v>193</v>
      </c>
      <c r="I409">
        <v>2</v>
      </c>
      <c r="J409">
        <v>3</v>
      </c>
      <c r="K409" t="s">
        <v>69</v>
      </c>
      <c r="L409">
        <v>0</v>
      </c>
      <c r="M409" t="s">
        <v>172</v>
      </c>
      <c r="N409">
        <v>1205</v>
      </c>
    </row>
    <row r="410" spans="1:14">
      <c r="A410">
        <v>41</v>
      </c>
      <c r="B410">
        <v>46195</v>
      </c>
      <c r="C410" t="s">
        <v>24</v>
      </c>
      <c r="D410" t="s">
        <v>61</v>
      </c>
      <c r="E410">
        <v>4</v>
      </c>
      <c r="F410">
        <v>46112</v>
      </c>
      <c r="G410" t="s">
        <v>61</v>
      </c>
      <c r="H410" t="s">
        <v>222</v>
      </c>
      <c r="I410">
        <v>3</v>
      </c>
      <c r="J410">
        <v>1</v>
      </c>
      <c r="K410" t="s">
        <v>171</v>
      </c>
      <c r="L410">
        <v>1</v>
      </c>
      <c r="M410" t="s">
        <v>172</v>
      </c>
      <c r="N410">
        <v>1160</v>
      </c>
    </row>
    <row r="411" spans="1:14">
      <c r="A411">
        <v>41</v>
      </c>
      <c r="B411">
        <v>46195</v>
      </c>
      <c r="C411" t="s">
        <v>24</v>
      </c>
      <c r="D411" t="s">
        <v>61</v>
      </c>
      <c r="E411">
        <v>5</v>
      </c>
      <c r="F411">
        <v>46109</v>
      </c>
      <c r="G411" t="s">
        <v>61</v>
      </c>
      <c r="H411" t="s">
        <v>195</v>
      </c>
      <c r="I411">
        <v>2</v>
      </c>
      <c r="J411">
        <v>0</v>
      </c>
      <c r="K411" t="s">
        <v>171</v>
      </c>
      <c r="L411">
        <v>1</v>
      </c>
      <c r="M411" t="s">
        <v>172</v>
      </c>
      <c r="N411">
        <v>1101</v>
      </c>
    </row>
    <row r="412" spans="1:14">
      <c r="A412">
        <v>42</v>
      </c>
      <c r="B412">
        <v>46195</v>
      </c>
      <c r="C412" t="s">
        <v>19</v>
      </c>
      <c r="D412" t="s">
        <v>60</v>
      </c>
      <c r="E412">
        <v>1</v>
      </c>
      <c r="F412">
        <v>46189</v>
      </c>
      <c r="G412" t="s">
        <v>60</v>
      </c>
      <c r="H412" t="s">
        <v>61</v>
      </c>
      <c r="I412">
        <v>3</v>
      </c>
      <c r="J412">
        <v>1</v>
      </c>
      <c r="K412" t="s">
        <v>171</v>
      </c>
      <c r="L412">
        <v>1</v>
      </c>
      <c r="M412" t="s">
        <v>242</v>
      </c>
      <c r="N412">
        <v>1351</v>
      </c>
    </row>
    <row r="413" spans="1:14">
      <c r="A413">
        <v>42</v>
      </c>
      <c r="B413">
        <v>46195</v>
      </c>
      <c r="C413" t="s">
        <v>19</v>
      </c>
      <c r="D413" t="s">
        <v>60</v>
      </c>
      <c r="E413">
        <v>2</v>
      </c>
      <c r="F413">
        <v>46181</v>
      </c>
      <c r="G413" t="s">
        <v>60</v>
      </c>
      <c r="H413" t="s">
        <v>228</v>
      </c>
      <c r="I413">
        <v>3</v>
      </c>
      <c r="J413">
        <v>1</v>
      </c>
      <c r="K413" t="s">
        <v>171</v>
      </c>
      <c r="L413">
        <v>1</v>
      </c>
      <c r="M413" t="s">
        <v>172</v>
      </c>
      <c r="N413">
        <v>1305</v>
      </c>
    </row>
    <row r="414" spans="1:14">
      <c r="A414">
        <v>42</v>
      </c>
      <c r="B414">
        <v>46195</v>
      </c>
      <c r="C414" t="s">
        <v>19</v>
      </c>
      <c r="D414" t="s">
        <v>60</v>
      </c>
      <c r="E414">
        <v>3</v>
      </c>
      <c r="F414">
        <v>46177</v>
      </c>
      <c r="G414" t="s">
        <v>60</v>
      </c>
      <c r="H414" t="s">
        <v>180</v>
      </c>
      <c r="I414">
        <v>1</v>
      </c>
      <c r="J414">
        <v>2</v>
      </c>
      <c r="K414" t="s">
        <v>69</v>
      </c>
      <c r="L414">
        <v>0</v>
      </c>
      <c r="M414" t="s">
        <v>172</v>
      </c>
      <c r="N414">
        <v>1238</v>
      </c>
    </row>
    <row r="415" spans="1:14">
      <c r="A415">
        <v>42</v>
      </c>
      <c r="B415">
        <v>46195</v>
      </c>
      <c r="C415" t="s">
        <v>19</v>
      </c>
      <c r="D415" t="s">
        <v>60</v>
      </c>
      <c r="E415">
        <v>4</v>
      </c>
      <c r="F415">
        <v>46110</v>
      </c>
      <c r="G415" t="s">
        <v>60</v>
      </c>
      <c r="H415" t="s">
        <v>78</v>
      </c>
      <c r="I415">
        <v>3</v>
      </c>
      <c r="J415">
        <v>1</v>
      </c>
      <c r="K415" t="s">
        <v>171</v>
      </c>
      <c r="L415">
        <v>1</v>
      </c>
      <c r="M415" t="s">
        <v>172</v>
      </c>
      <c r="N415">
        <v>1109</v>
      </c>
    </row>
    <row r="416" spans="1:14">
      <c r="A416">
        <v>42</v>
      </c>
      <c r="B416">
        <v>46195</v>
      </c>
      <c r="C416" t="s">
        <v>19</v>
      </c>
      <c r="D416" t="s">
        <v>60</v>
      </c>
      <c r="E416">
        <v>5</v>
      </c>
      <c r="F416">
        <v>46107</v>
      </c>
      <c r="G416" t="s">
        <v>60</v>
      </c>
      <c r="H416" t="s">
        <v>35</v>
      </c>
      <c r="I416">
        <v>2</v>
      </c>
      <c r="J416">
        <v>1</v>
      </c>
      <c r="K416" t="s">
        <v>171</v>
      </c>
      <c r="L416">
        <v>1</v>
      </c>
      <c r="M416" t="s">
        <v>172</v>
      </c>
      <c r="N416">
        <v>1033</v>
      </c>
    </row>
    <row r="417" spans="1:14">
      <c r="A417">
        <v>42</v>
      </c>
      <c r="B417">
        <v>46195</v>
      </c>
      <c r="C417" t="s">
        <v>24</v>
      </c>
      <c r="D417" t="s">
        <v>62</v>
      </c>
      <c r="E417">
        <v>1</v>
      </c>
      <c r="F417">
        <v>46189</v>
      </c>
      <c r="G417" t="s">
        <v>62</v>
      </c>
      <c r="H417" t="s">
        <v>63</v>
      </c>
      <c r="I417">
        <v>1</v>
      </c>
      <c r="J417">
        <v>4</v>
      </c>
      <c r="K417" t="s">
        <v>69</v>
      </c>
      <c r="L417">
        <v>0</v>
      </c>
      <c r="M417" t="s">
        <v>242</v>
      </c>
      <c r="N417">
        <v>1352</v>
      </c>
    </row>
    <row r="418" spans="1:14">
      <c r="A418">
        <v>42</v>
      </c>
      <c r="B418">
        <v>46195</v>
      </c>
      <c r="C418" t="s">
        <v>24</v>
      </c>
      <c r="D418" t="s">
        <v>62</v>
      </c>
      <c r="E418">
        <v>2</v>
      </c>
      <c r="F418">
        <v>46182</v>
      </c>
      <c r="G418" t="s">
        <v>62</v>
      </c>
      <c r="H418" t="s">
        <v>189</v>
      </c>
      <c r="I418">
        <v>0</v>
      </c>
      <c r="J418">
        <v>2</v>
      </c>
      <c r="K418" t="s">
        <v>69</v>
      </c>
      <c r="L418">
        <v>0</v>
      </c>
      <c r="M418" t="s">
        <v>172</v>
      </c>
      <c r="N418">
        <v>1330</v>
      </c>
    </row>
    <row r="419" spans="1:14">
      <c r="A419">
        <v>42</v>
      </c>
      <c r="B419">
        <v>46195</v>
      </c>
      <c r="C419" t="s">
        <v>24</v>
      </c>
      <c r="D419" t="s">
        <v>62</v>
      </c>
      <c r="E419">
        <v>3</v>
      </c>
      <c r="F419">
        <v>46177</v>
      </c>
      <c r="G419" t="s">
        <v>62</v>
      </c>
      <c r="H419" t="s">
        <v>52</v>
      </c>
      <c r="I419">
        <v>1</v>
      </c>
      <c r="J419">
        <v>1</v>
      </c>
      <c r="K419" t="s">
        <v>27</v>
      </c>
      <c r="L419">
        <v>0</v>
      </c>
      <c r="M419" t="s">
        <v>172</v>
      </c>
      <c r="N419">
        <v>1245</v>
      </c>
    </row>
    <row r="420" spans="1:14">
      <c r="A420">
        <v>42</v>
      </c>
      <c r="B420">
        <v>46195</v>
      </c>
      <c r="C420" t="s">
        <v>24</v>
      </c>
      <c r="D420" t="s">
        <v>62</v>
      </c>
      <c r="E420">
        <v>4</v>
      </c>
      <c r="F420">
        <v>46171</v>
      </c>
      <c r="G420" t="s">
        <v>62</v>
      </c>
      <c r="H420" t="s">
        <v>230</v>
      </c>
      <c r="I420">
        <v>1</v>
      </c>
      <c r="J420">
        <v>0</v>
      </c>
      <c r="K420" t="s">
        <v>171</v>
      </c>
      <c r="L420">
        <v>1</v>
      </c>
      <c r="M420" t="s">
        <v>172</v>
      </c>
      <c r="N420">
        <v>1188</v>
      </c>
    </row>
    <row r="421" spans="1:14">
      <c r="A421">
        <v>42</v>
      </c>
      <c r="B421">
        <v>46195</v>
      </c>
      <c r="C421" t="s">
        <v>24</v>
      </c>
      <c r="D421" t="s">
        <v>62</v>
      </c>
      <c r="E421">
        <v>5</v>
      </c>
      <c r="F421">
        <v>46112</v>
      </c>
      <c r="G421" t="s">
        <v>62</v>
      </c>
      <c r="H421" t="s">
        <v>196</v>
      </c>
      <c r="I421">
        <v>2</v>
      </c>
      <c r="J421">
        <v>1</v>
      </c>
      <c r="K421" t="s">
        <v>171</v>
      </c>
      <c r="L421">
        <v>1</v>
      </c>
      <c r="M421" t="s">
        <v>185</v>
      </c>
      <c r="N421">
        <v>1169</v>
      </c>
    </row>
    <row r="422" spans="1:14">
      <c r="A422">
        <v>43</v>
      </c>
      <c r="B422">
        <v>46195</v>
      </c>
      <c r="C422" t="s">
        <v>19</v>
      </c>
      <c r="D422" t="s">
        <v>65</v>
      </c>
      <c r="E422">
        <v>1</v>
      </c>
      <c r="F422">
        <v>46189</v>
      </c>
      <c r="G422" t="s">
        <v>65</v>
      </c>
      <c r="H422" t="s">
        <v>66</v>
      </c>
      <c r="I422">
        <v>3</v>
      </c>
      <c r="J422">
        <v>0</v>
      </c>
      <c r="K422" t="s">
        <v>171</v>
      </c>
      <c r="L422">
        <v>1</v>
      </c>
      <c r="M422" t="s">
        <v>242</v>
      </c>
      <c r="N422">
        <v>1353</v>
      </c>
    </row>
    <row r="423" spans="1:14">
      <c r="A423">
        <v>43</v>
      </c>
      <c r="B423">
        <v>46195</v>
      </c>
      <c r="C423" t="s">
        <v>19</v>
      </c>
      <c r="D423" t="s">
        <v>65</v>
      </c>
      <c r="E423">
        <v>2</v>
      </c>
      <c r="F423">
        <v>46182</v>
      </c>
      <c r="G423" t="s">
        <v>65</v>
      </c>
      <c r="H423" t="s">
        <v>188</v>
      </c>
      <c r="I423">
        <v>3</v>
      </c>
      <c r="J423">
        <v>0</v>
      </c>
      <c r="K423" t="s">
        <v>171</v>
      </c>
      <c r="L423">
        <v>1</v>
      </c>
      <c r="M423" t="s">
        <v>172</v>
      </c>
      <c r="N423">
        <v>1310</v>
      </c>
    </row>
    <row r="424" spans="1:14">
      <c r="A424">
        <v>43</v>
      </c>
      <c r="B424">
        <v>46195</v>
      </c>
      <c r="C424" t="s">
        <v>19</v>
      </c>
      <c r="D424" t="s">
        <v>65</v>
      </c>
      <c r="E424">
        <v>3</v>
      </c>
      <c r="F424">
        <v>46179</v>
      </c>
      <c r="G424" t="s">
        <v>65</v>
      </c>
      <c r="H424" t="s">
        <v>231</v>
      </c>
      <c r="I424">
        <v>2</v>
      </c>
      <c r="J424">
        <v>0</v>
      </c>
      <c r="K424" t="s">
        <v>171</v>
      </c>
      <c r="L424">
        <v>1</v>
      </c>
      <c r="M424" t="s">
        <v>172</v>
      </c>
      <c r="N424">
        <v>1272</v>
      </c>
    </row>
    <row r="425" spans="1:14">
      <c r="A425">
        <v>43</v>
      </c>
      <c r="B425">
        <v>46195</v>
      </c>
      <c r="C425" t="s">
        <v>19</v>
      </c>
      <c r="D425" t="s">
        <v>65</v>
      </c>
      <c r="E425">
        <v>4</v>
      </c>
      <c r="F425">
        <v>46112</v>
      </c>
      <c r="G425" t="s">
        <v>65</v>
      </c>
      <c r="H425" t="s">
        <v>232</v>
      </c>
      <c r="I425">
        <v>5</v>
      </c>
      <c r="J425">
        <v>0</v>
      </c>
      <c r="K425" t="s">
        <v>171</v>
      </c>
      <c r="L425">
        <v>1</v>
      </c>
      <c r="M425" t="s">
        <v>172</v>
      </c>
      <c r="N425">
        <v>1135</v>
      </c>
    </row>
    <row r="426" spans="1:14">
      <c r="A426">
        <v>43</v>
      </c>
      <c r="B426">
        <v>46195</v>
      </c>
      <c r="C426" t="s">
        <v>19</v>
      </c>
      <c r="D426" t="s">
        <v>65</v>
      </c>
      <c r="E426">
        <v>5</v>
      </c>
      <c r="F426">
        <v>46108</v>
      </c>
      <c r="G426" t="s">
        <v>65</v>
      </c>
      <c r="H426" t="s">
        <v>233</v>
      </c>
      <c r="I426">
        <v>2</v>
      </c>
      <c r="J426">
        <v>1</v>
      </c>
      <c r="K426" t="s">
        <v>171</v>
      </c>
      <c r="L426">
        <v>1</v>
      </c>
      <c r="M426" t="s">
        <v>172</v>
      </c>
      <c r="N426">
        <v>1060</v>
      </c>
    </row>
    <row r="427" spans="1:14">
      <c r="A427">
        <v>43</v>
      </c>
      <c r="B427">
        <v>46195</v>
      </c>
      <c r="C427" t="s">
        <v>24</v>
      </c>
      <c r="D427" t="s">
        <v>67</v>
      </c>
      <c r="E427">
        <v>1</v>
      </c>
      <c r="F427">
        <v>46189</v>
      </c>
      <c r="G427" t="s">
        <v>67</v>
      </c>
      <c r="H427" t="s">
        <v>68</v>
      </c>
      <c r="I427">
        <v>3</v>
      </c>
      <c r="J427">
        <v>1</v>
      </c>
      <c r="K427" t="s">
        <v>171</v>
      </c>
      <c r="L427">
        <v>1</v>
      </c>
      <c r="M427" t="s">
        <v>242</v>
      </c>
      <c r="N427">
        <v>1354</v>
      </c>
    </row>
    <row r="428" spans="1:14">
      <c r="A428">
        <v>43</v>
      </c>
      <c r="B428">
        <v>46195</v>
      </c>
      <c r="C428" t="s">
        <v>24</v>
      </c>
      <c r="D428" t="s">
        <v>67</v>
      </c>
      <c r="E428">
        <v>2</v>
      </c>
      <c r="F428">
        <v>46174</v>
      </c>
      <c r="G428" t="s">
        <v>67</v>
      </c>
      <c r="H428" t="s">
        <v>48</v>
      </c>
      <c r="I428">
        <v>1</v>
      </c>
      <c r="J428">
        <v>0</v>
      </c>
      <c r="K428" t="s">
        <v>171</v>
      </c>
      <c r="L428">
        <v>1</v>
      </c>
      <c r="M428" t="s">
        <v>172</v>
      </c>
      <c r="N428">
        <v>1207</v>
      </c>
    </row>
    <row r="429" spans="1:14">
      <c r="A429">
        <v>43</v>
      </c>
      <c r="B429">
        <v>46195</v>
      </c>
      <c r="C429" t="s">
        <v>24</v>
      </c>
      <c r="D429" t="s">
        <v>67</v>
      </c>
      <c r="E429">
        <v>3</v>
      </c>
      <c r="F429">
        <v>46112</v>
      </c>
      <c r="G429" t="s">
        <v>67</v>
      </c>
      <c r="H429" t="s">
        <v>177</v>
      </c>
      <c r="I429">
        <v>1</v>
      </c>
      <c r="J429">
        <v>0</v>
      </c>
      <c r="K429" t="s">
        <v>171</v>
      </c>
      <c r="L429">
        <v>1</v>
      </c>
      <c r="M429" t="s">
        <v>172</v>
      </c>
      <c r="N429">
        <v>1136</v>
      </c>
    </row>
    <row r="430" spans="1:14">
      <c r="A430">
        <v>43</v>
      </c>
      <c r="B430">
        <v>46195</v>
      </c>
      <c r="C430" t="s">
        <v>24</v>
      </c>
      <c r="D430" t="s">
        <v>67</v>
      </c>
      <c r="E430">
        <v>4</v>
      </c>
      <c r="F430">
        <v>46108</v>
      </c>
      <c r="G430" t="s">
        <v>67</v>
      </c>
      <c r="H430" t="s">
        <v>70</v>
      </c>
      <c r="I430">
        <v>5</v>
      </c>
      <c r="J430">
        <v>1</v>
      </c>
      <c r="K430" t="s">
        <v>171</v>
      </c>
      <c r="L430">
        <v>1</v>
      </c>
      <c r="M430" t="s">
        <v>172</v>
      </c>
      <c r="N430">
        <v>1061</v>
      </c>
    </row>
    <row r="431" spans="1:14">
      <c r="A431">
        <v>43</v>
      </c>
      <c r="B431">
        <v>46195</v>
      </c>
      <c r="C431" t="s">
        <v>24</v>
      </c>
      <c r="D431" t="s">
        <v>67</v>
      </c>
      <c r="E431">
        <v>5</v>
      </c>
      <c r="F431">
        <v>45979</v>
      </c>
      <c r="G431" t="s">
        <v>67</v>
      </c>
      <c r="H431" t="s">
        <v>26</v>
      </c>
      <c r="I431">
        <v>1</v>
      </c>
      <c r="J431">
        <v>1</v>
      </c>
      <c r="K431" t="s">
        <v>27</v>
      </c>
      <c r="L431">
        <v>0</v>
      </c>
      <c r="M431" t="s">
        <v>185</v>
      </c>
      <c r="N431">
        <v>912</v>
      </c>
    </row>
    <row r="432" spans="1:14">
      <c r="A432">
        <v>44</v>
      </c>
      <c r="B432">
        <v>46195</v>
      </c>
      <c r="C432" t="s">
        <v>19</v>
      </c>
      <c r="D432" t="s">
        <v>68</v>
      </c>
      <c r="E432">
        <v>1</v>
      </c>
      <c r="F432">
        <v>46189</v>
      </c>
      <c r="G432" t="s">
        <v>68</v>
      </c>
      <c r="H432" t="s">
        <v>67</v>
      </c>
      <c r="I432">
        <v>1</v>
      </c>
      <c r="J432">
        <v>3</v>
      </c>
      <c r="K432" t="s">
        <v>69</v>
      </c>
      <c r="L432">
        <v>0</v>
      </c>
      <c r="M432" t="s">
        <v>242</v>
      </c>
      <c r="N432">
        <v>1354</v>
      </c>
    </row>
    <row r="433" spans="1:14">
      <c r="A433">
        <v>44</v>
      </c>
      <c r="B433">
        <v>46195</v>
      </c>
      <c r="C433" t="s">
        <v>19</v>
      </c>
      <c r="D433" t="s">
        <v>68</v>
      </c>
      <c r="E433">
        <v>2</v>
      </c>
      <c r="F433">
        <v>46180</v>
      </c>
      <c r="G433" t="s">
        <v>68</v>
      </c>
      <c r="H433" t="s">
        <v>78</v>
      </c>
      <c r="I433">
        <v>0</v>
      </c>
      <c r="J433">
        <v>2</v>
      </c>
      <c r="K433" t="s">
        <v>69</v>
      </c>
      <c r="L433">
        <v>0</v>
      </c>
      <c r="M433" t="s">
        <v>172</v>
      </c>
      <c r="N433">
        <v>1300</v>
      </c>
    </row>
    <row r="434" spans="1:14">
      <c r="A434">
        <v>44</v>
      </c>
      <c r="B434">
        <v>46195</v>
      </c>
      <c r="C434" t="s">
        <v>19</v>
      </c>
      <c r="D434" t="s">
        <v>68</v>
      </c>
      <c r="E434">
        <v>3</v>
      </c>
      <c r="F434">
        <v>46173</v>
      </c>
      <c r="G434" t="s">
        <v>68</v>
      </c>
      <c r="H434" t="s">
        <v>38</v>
      </c>
      <c r="I434">
        <v>1</v>
      </c>
      <c r="J434">
        <v>4</v>
      </c>
      <c r="K434" t="s">
        <v>69</v>
      </c>
      <c r="L434">
        <v>0</v>
      </c>
      <c r="M434" t="s">
        <v>172</v>
      </c>
      <c r="N434">
        <v>1204</v>
      </c>
    </row>
    <row r="435" spans="1:14">
      <c r="A435">
        <v>44</v>
      </c>
      <c r="B435">
        <v>46195</v>
      </c>
      <c r="C435" t="s">
        <v>19</v>
      </c>
      <c r="D435" t="s">
        <v>68</v>
      </c>
      <c r="E435">
        <v>4</v>
      </c>
      <c r="F435">
        <v>46112</v>
      </c>
      <c r="G435" t="s">
        <v>68</v>
      </c>
      <c r="H435" t="s">
        <v>225</v>
      </c>
      <c r="I435">
        <v>2</v>
      </c>
      <c r="J435">
        <v>2</v>
      </c>
      <c r="K435" t="s">
        <v>27</v>
      </c>
      <c r="L435">
        <v>0</v>
      </c>
      <c r="M435" t="s">
        <v>224</v>
      </c>
      <c r="N435">
        <v>1147</v>
      </c>
    </row>
    <row r="436" spans="1:14">
      <c r="A436">
        <v>44</v>
      </c>
      <c r="B436">
        <v>46195</v>
      </c>
      <c r="C436" t="s">
        <v>19</v>
      </c>
      <c r="D436" t="s">
        <v>68</v>
      </c>
      <c r="E436">
        <v>5</v>
      </c>
      <c r="F436">
        <v>46108</v>
      </c>
      <c r="G436" t="s">
        <v>68</v>
      </c>
      <c r="H436" t="s">
        <v>223</v>
      </c>
      <c r="I436">
        <v>2</v>
      </c>
      <c r="J436">
        <v>2</v>
      </c>
      <c r="K436" t="s">
        <v>27</v>
      </c>
      <c r="L436">
        <v>0</v>
      </c>
      <c r="M436" t="s">
        <v>224</v>
      </c>
      <c r="N436">
        <v>1075</v>
      </c>
    </row>
    <row r="437" spans="1:14">
      <c r="A437">
        <v>44</v>
      </c>
      <c r="B437">
        <v>46195</v>
      </c>
      <c r="C437" t="s">
        <v>24</v>
      </c>
      <c r="D437" t="s">
        <v>66</v>
      </c>
      <c r="E437">
        <v>1</v>
      </c>
      <c r="F437">
        <v>46189</v>
      </c>
      <c r="G437" t="s">
        <v>66</v>
      </c>
      <c r="H437" t="s">
        <v>65</v>
      </c>
      <c r="I437">
        <v>0</v>
      </c>
      <c r="J437">
        <v>3</v>
      </c>
      <c r="K437" t="s">
        <v>69</v>
      </c>
      <c r="L437">
        <v>0</v>
      </c>
      <c r="M437" t="s">
        <v>242</v>
      </c>
      <c r="N437">
        <v>1353</v>
      </c>
    </row>
    <row r="438" spans="1:14">
      <c r="A438">
        <v>44</v>
      </c>
      <c r="B438">
        <v>46195</v>
      </c>
      <c r="C438" t="s">
        <v>24</v>
      </c>
      <c r="D438" t="s">
        <v>66</v>
      </c>
      <c r="E438">
        <v>2</v>
      </c>
      <c r="F438">
        <v>46183</v>
      </c>
      <c r="G438" t="s">
        <v>66</v>
      </c>
      <c r="H438" t="s">
        <v>196</v>
      </c>
      <c r="I438">
        <v>4</v>
      </c>
      <c r="J438">
        <v>0</v>
      </c>
      <c r="K438" t="s">
        <v>171</v>
      </c>
      <c r="L438">
        <v>1</v>
      </c>
      <c r="M438" t="s">
        <v>172</v>
      </c>
      <c r="N438">
        <v>1331</v>
      </c>
    </row>
    <row r="439" spans="1:14">
      <c r="A439">
        <v>44</v>
      </c>
      <c r="B439">
        <v>46195</v>
      </c>
      <c r="C439" t="s">
        <v>24</v>
      </c>
      <c r="D439" t="s">
        <v>66</v>
      </c>
      <c r="E439">
        <v>3</v>
      </c>
      <c r="F439">
        <v>46176</v>
      </c>
      <c r="G439" t="s">
        <v>66</v>
      </c>
      <c r="H439" t="s">
        <v>45</v>
      </c>
      <c r="I439">
        <v>1</v>
      </c>
      <c r="J439">
        <v>0</v>
      </c>
      <c r="K439" t="s">
        <v>171</v>
      </c>
      <c r="L439">
        <v>1</v>
      </c>
      <c r="M439" t="s">
        <v>172</v>
      </c>
      <c r="N439">
        <v>1229</v>
      </c>
    </row>
    <row r="440" spans="1:14">
      <c r="A440">
        <v>44</v>
      </c>
      <c r="B440">
        <v>46195</v>
      </c>
      <c r="C440" t="s">
        <v>24</v>
      </c>
      <c r="D440" t="s">
        <v>66</v>
      </c>
      <c r="E440">
        <v>4</v>
      </c>
      <c r="F440">
        <v>46112</v>
      </c>
      <c r="G440" t="s">
        <v>66</v>
      </c>
      <c r="H440" t="s">
        <v>51</v>
      </c>
      <c r="I440">
        <v>0</v>
      </c>
      <c r="J440">
        <v>0</v>
      </c>
      <c r="K440" t="s">
        <v>27</v>
      </c>
      <c r="L440">
        <v>0</v>
      </c>
      <c r="M440" t="s">
        <v>172</v>
      </c>
      <c r="N440">
        <v>1134</v>
      </c>
    </row>
    <row r="441" spans="1:14">
      <c r="A441">
        <v>44</v>
      </c>
      <c r="B441">
        <v>46195</v>
      </c>
      <c r="C441" t="s">
        <v>24</v>
      </c>
      <c r="D441" t="s">
        <v>66</v>
      </c>
      <c r="E441">
        <v>5</v>
      </c>
      <c r="F441">
        <v>46108</v>
      </c>
      <c r="G441" t="s">
        <v>66</v>
      </c>
      <c r="H441" t="s">
        <v>182</v>
      </c>
      <c r="I441">
        <v>7</v>
      </c>
      <c r="J441">
        <v>0</v>
      </c>
      <c r="K441" t="s">
        <v>171</v>
      </c>
      <c r="L441">
        <v>1</v>
      </c>
      <c r="M441" t="s">
        <v>172</v>
      </c>
      <c r="N441">
        <v>1059</v>
      </c>
    </row>
    <row r="442" spans="1:14">
      <c r="A442">
        <v>45</v>
      </c>
      <c r="B442">
        <v>46196</v>
      </c>
      <c r="C442" t="s">
        <v>19</v>
      </c>
      <c r="D442" t="s">
        <v>72</v>
      </c>
      <c r="E442">
        <v>1</v>
      </c>
      <c r="F442">
        <v>46190</v>
      </c>
      <c r="G442" t="s">
        <v>72</v>
      </c>
      <c r="H442" t="s">
        <v>73</v>
      </c>
      <c r="I442">
        <v>4</v>
      </c>
      <c r="J442">
        <v>2</v>
      </c>
      <c r="K442" t="s">
        <v>171</v>
      </c>
      <c r="L442">
        <v>1</v>
      </c>
      <c r="M442" t="s">
        <v>242</v>
      </c>
      <c r="N442">
        <v>1357</v>
      </c>
    </row>
    <row r="443" spans="1:14">
      <c r="A443">
        <v>45</v>
      </c>
      <c r="B443">
        <v>46196</v>
      </c>
      <c r="C443" t="s">
        <v>19</v>
      </c>
      <c r="D443" t="s">
        <v>72</v>
      </c>
      <c r="E443">
        <v>2</v>
      </c>
      <c r="F443">
        <v>46183</v>
      </c>
      <c r="G443" t="s">
        <v>72</v>
      </c>
      <c r="H443" t="s">
        <v>223</v>
      </c>
      <c r="I443">
        <v>3</v>
      </c>
      <c r="J443">
        <v>0</v>
      </c>
      <c r="K443" t="s">
        <v>171</v>
      </c>
      <c r="L443">
        <v>1</v>
      </c>
      <c r="M443" t="s">
        <v>172</v>
      </c>
      <c r="N443">
        <v>1332</v>
      </c>
    </row>
    <row r="444" spans="1:14">
      <c r="A444">
        <v>45</v>
      </c>
      <c r="B444">
        <v>46196</v>
      </c>
      <c r="C444" t="s">
        <v>19</v>
      </c>
      <c r="D444" t="s">
        <v>72</v>
      </c>
      <c r="E444">
        <v>3</v>
      </c>
      <c r="F444">
        <v>46179</v>
      </c>
      <c r="G444" t="s">
        <v>72</v>
      </c>
      <c r="H444" t="s">
        <v>56</v>
      </c>
      <c r="I444">
        <v>1</v>
      </c>
      <c r="J444">
        <v>0</v>
      </c>
      <c r="K444" t="s">
        <v>171</v>
      </c>
      <c r="L444">
        <v>1</v>
      </c>
      <c r="M444" t="s">
        <v>172</v>
      </c>
      <c r="N444">
        <v>1280</v>
      </c>
    </row>
    <row r="445" spans="1:14">
      <c r="A445">
        <v>45</v>
      </c>
      <c r="B445">
        <v>46196</v>
      </c>
      <c r="C445" t="s">
        <v>19</v>
      </c>
      <c r="D445" t="s">
        <v>72</v>
      </c>
      <c r="E445">
        <v>4</v>
      </c>
      <c r="F445">
        <v>46112</v>
      </c>
      <c r="G445" t="s">
        <v>72</v>
      </c>
      <c r="H445" t="s">
        <v>46</v>
      </c>
      <c r="I445">
        <v>0</v>
      </c>
      <c r="J445">
        <v>1</v>
      </c>
      <c r="K445" t="s">
        <v>69</v>
      </c>
      <c r="L445">
        <v>0</v>
      </c>
      <c r="M445" t="s">
        <v>172</v>
      </c>
      <c r="N445">
        <v>1142</v>
      </c>
    </row>
    <row r="446" spans="1:14">
      <c r="A446">
        <v>45</v>
      </c>
      <c r="B446">
        <v>46196</v>
      </c>
      <c r="C446" t="s">
        <v>19</v>
      </c>
      <c r="D446" t="s">
        <v>72</v>
      </c>
      <c r="E446">
        <v>5</v>
      </c>
      <c r="F446">
        <v>46108</v>
      </c>
      <c r="G446" t="s">
        <v>72</v>
      </c>
      <c r="H446" t="s">
        <v>51</v>
      </c>
      <c r="I446">
        <v>1</v>
      </c>
      <c r="J446">
        <v>1</v>
      </c>
      <c r="K446" t="s">
        <v>27</v>
      </c>
      <c r="L446">
        <v>0</v>
      </c>
      <c r="M446" t="s">
        <v>172</v>
      </c>
      <c r="N446">
        <v>1062</v>
      </c>
    </row>
    <row r="447" spans="1:14">
      <c r="A447">
        <v>45</v>
      </c>
      <c r="B447">
        <v>46196</v>
      </c>
      <c r="C447" t="s">
        <v>24</v>
      </c>
      <c r="D447" t="s">
        <v>70</v>
      </c>
      <c r="E447">
        <v>1</v>
      </c>
      <c r="F447">
        <v>46190</v>
      </c>
      <c r="G447" t="s">
        <v>70</v>
      </c>
      <c r="H447" t="s">
        <v>71</v>
      </c>
      <c r="I447">
        <v>1</v>
      </c>
      <c r="J447">
        <v>0</v>
      </c>
      <c r="K447" t="s">
        <v>171</v>
      </c>
      <c r="L447">
        <v>1</v>
      </c>
      <c r="M447" t="s">
        <v>242</v>
      </c>
      <c r="N447">
        <v>1358</v>
      </c>
    </row>
    <row r="448" spans="1:14">
      <c r="A448">
        <v>45</v>
      </c>
      <c r="B448">
        <v>46196</v>
      </c>
      <c r="C448" t="s">
        <v>24</v>
      </c>
      <c r="D448" t="s">
        <v>70</v>
      </c>
      <c r="E448">
        <v>2</v>
      </c>
      <c r="F448">
        <v>46175</v>
      </c>
      <c r="G448" t="s">
        <v>70</v>
      </c>
      <c r="H448" t="s">
        <v>192</v>
      </c>
      <c r="I448">
        <v>1</v>
      </c>
      <c r="J448">
        <v>1</v>
      </c>
      <c r="K448" t="s">
        <v>27</v>
      </c>
      <c r="L448">
        <v>0</v>
      </c>
      <c r="M448" t="s">
        <v>172</v>
      </c>
      <c r="N448">
        <v>1219</v>
      </c>
    </row>
    <row r="449" spans="1:14">
      <c r="A449">
        <v>45</v>
      </c>
      <c r="B449">
        <v>46196</v>
      </c>
      <c r="C449" t="s">
        <v>24</v>
      </c>
      <c r="D449" t="s">
        <v>70</v>
      </c>
      <c r="E449">
        <v>3</v>
      </c>
      <c r="F449">
        <v>46164</v>
      </c>
      <c r="G449" t="s">
        <v>70</v>
      </c>
      <c r="H449" t="s">
        <v>20</v>
      </c>
      <c r="I449">
        <v>0</v>
      </c>
      <c r="J449">
        <v>2</v>
      </c>
      <c r="K449" t="s">
        <v>69</v>
      </c>
      <c r="L449">
        <v>0</v>
      </c>
      <c r="M449" t="s">
        <v>172</v>
      </c>
      <c r="N449">
        <v>1182</v>
      </c>
    </row>
    <row r="450" spans="1:14">
      <c r="A450">
        <v>45</v>
      </c>
      <c r="B450">
        <v>46196</v>
      </c>
      <c r="C450" t="s">
        <v>24</v>
      </c>
      <c r="D450" t="s">
        <v>70</v>
      </c>
      <c r="E450">
        <v>4</v>
      </c>
      <c r="F450">
        <v>46111</v>
      </c>
      <c r="G450" t="s">
        <v>70</v>
      </c>
      <c r="H450" t="s">
        <v>42</v>
      </c>
      <c r="I450">
        <v>1</v>
      </c>
      <c r="J450">
        <v>2</v>
      </c>
      <c r="K450" t="s">
        <v>69</v>
      </c>
      <c r="L450">
        <v>0</v>
      </c>
      <c r="M450" t="s">
        <v>172</v>
      </c>
      <c r="N450">
        <v>1122</v>
      </c>
    </row>
    <row r="451" spans="1:14">
      <c r="A451">
        <v>45</v>
      </c>
      <c r="B451">
        <v>46196</v>
      </c>
      <c r="C451" t="s">
        <v>24</v>
      </c>
      <c r="D451" t="s">
        <v>70</v>
      </c>
      <c r="E451">
        <v>5</v>
      </c>
      <c r="F451">
        <v>46108</v>
      </c>
      <c r="G451" t="s">
        <v>70</v>
      </c>
      <c r="H451" t="s">
        <v>67</v>
      </c>
      <c r="I451">
        <v>1</v>
      </c>
      <c r="J451">
        <v>5</v>
      </c>
      <c r="K451" t="s">
        <v>69</v>
      </c>
      <c r="L451">
        <v>0</v>
      </c>
      <c r="M451" t="s">
        <v>172</v>
      </c>
      <c r="N451">
        <v>1061</v>
      </c>
    </row>
    <row r="452" spans="1:14">
      <c r="A452">
        <v>46</v>
      </c>
      <c r="B452">
        <v>46196</v>
      </c>
      <c r="C452" t="s">
        <v>19</v>
      </c>
      <c r="D452" t="s">
        <v>71</v>
      </c>
      <c r="E452">
        <v>1</v>
      </c>
      <c r="F452">
        <v>46190</v>
      </c>
      <c r="G452" t="s">
        <v>71</v>
      </c>
      <c r="H452" t="s">
        <v>70</v>
      </c>
      <c r="I452">
        <v>0</v>
      </c>
      <c r="J452">
        <v>1</v>
      </c>
      <c r="K452" t="s">
        <v>69</v>
      </c>
      <c r="L452">
        <v>0</v>
      </c>
      <c r="M452" t="s">
        <v>242</v>
      </c>
      <c r="N452">
        <v>1358</v>
      </c>
    </row>
    <row r="453" spans="1:14">
      <c r="A453">
        <v>46</v>
      </c>
      <c r="B453">
        <v>46196</v>
      </c>
      <c r="C453" t="s">
        <v>19</v>
      </c>
      <c r="D453" t="s">
        <v>71</v>
      </c>
      <c r="E453">
        <v>2</v>
      </c>
      <c r="F453">
        <v>46179</v>
      </c>
      <c r="G453" t="s">
        <v>71</v>
      </c>
      <c r="H453" t="s">
        <v>26</v>
      </c>
      <c r="I453">
        <v>1</v>
      </c>
      <c r="J453">
        <v>1</v>
      </c>
      <c r="K453" t="s">
        <v>27</v>
      </c>
      <c r="L453">
        <v>0</v>
      </c>
      <c r="M453" t="s">
        <v>172</v>
      </c>
      <c r="N453">
        <v>1285</v>
      </c>
    </row>
    <row r="454" spans="1:14">
      <c r="A454">
        <v>46</v>
      </c>
      <c r="B454">
        <v>46196</v>
      </c>
      <c r="C454" t="s">
        <v>19</v>
      </c>
      <c r="D454" t="s">
        <v>71</v>
      </c>
      <c r="E454">
        <v>3</v>
      </c>
      <c r="F454">
        <v>46176</v>
      </c>
      <c r="G454" t="s">
        <v>71</v>
      </c>
      <c r="H454" t="s">
        <v>236</v>
      </c>
      <c r="I454">
        <v>4</v>
      </c>
      <c r="J454">
        <v>2</v>
      </c>
      <c r="K454" t="s">
        <v>171</v>
      </c>
      <c r="L454">
        <v>1</v>
      </c>
      <c r="M454" t="s">
        <v>172</v>
      </c>
      <c r="N454">
        <v>1230</v>
      </c>
    </row>
    <row r="455" spans="1:14">
      <c r="A455">
        <v>46</v>
      </c>
      <c r="B455">
        <v>46196</v>
      </c>
      <c r="C455" t="s">
        <v>19</v>
      </c>
      <c r="D455" t="s">
        <v>71</v>
      </c>
      <c r="E455">
        <v>4</v>
      </c>
      <c r="F455">
        <v>46173</v>
      </c>
      <c r="G455" t="s">
        <v>71</v>
      </c>
      <c r="H455" t="s">
        <v>35</v>
      </c>
      <c r="I455">
        <v>2</v>
      </c>
      <c r="J455">
        <v>6</v>
      </c>
      <c r="K455" t="s">
        <v>69</v>
      </c>
      <c r="L455">
        <v>0</v>
      </c>
      <c r="M455" t="s">
        <v>172</v>
      </c>
      <c r="N455">
        <v>1198</v>
      </c>
    </row>
    <row r="456" spans="1:14">
      <c r="A456">
        <v>46</v>
      </c>
      <c r="B456">
        <v>46196</v>
      </c>
      <c r="C456" t="s">
        <v>19</v>
      </c>
      <c r="D456" t="s">
        <v>71</v>
      </c>
      <c r="E456">
        <v>5</v>
      </c>
      <c r="F456">
        <v>46112</v>
      </c>
      <c r="G456" t="s">
        <v>71</v>
      </c>
      <c r="H456" t="s">
        <v>21</v>
      </c>
      <c r="I456">
        <v>2</v>
      </c>
      <c r="J456">
        <v>1</v>
      </c>
      <c r="K456" t="s">
        <v>171</v>
      </c>
      <c r="L456">
        <v>1</v>
      </c>
      <c r="M456" t="s">
        <v>172</v>
      </c>
      <c r="N456">
        <v>1163</v>
      </c>
    </row>
    <row r="457" spans="1:14">
      <c r="A457">
        <v>46</v>
      </c>
      <c r="B457">
        <v>46196</v>
      </c>
      <c r="C457" t="s">
        <v>24</v>
      </c>
      <c r="D457" t="s">
        <v>73</v>
      </c>
      <c r="E457">
        <v>1</v>
      </c>
      <c r="F457">
        <v>46190</v>
      </c>
      <c r="G457" t="s">
        <v>73</v>
      </c>
      <c r="H457" t="s">
        <v>72</v>
      </c>
      <c r="I457">
        <v>2</v>
      </c>
      <c r="J457">
        <v>4</v>
      </c>
      <c r="K457" t="s">
        <v>69</v>
      </c>
      <c r="L457">
        <v>0</v>
      </c>
      <c r="M457" t="s">
        <v>242</v>
      </c>
      <c r="N457">
        <v>1357</v>
      </c>
    </row>
    <row r="458" spans="1:14">
      <c r="A458">
        <v>46</v>
      </c>
      <c r="B458">
        <v>46196</v>
      </c>
      <c r="C458" t="s">
        <v>24</v>
      </c>
      <c r="D458" t="s">
        <v>73</v>
      </c>
      <c r="E458">
        <v>2</v>
      </c>
      <c r="F458">
        <v>46180</v>
      </c>
      <c r="G458" t="s">
        <v>73</v>
      </c>
      <c r="H458" t="s">
        <v>214</v>
      </c>
      <c r="I458">
        <v>2</v>
      </c>
      <c r="J458">
        <v>1</v>
      </c>
      <c r="K458" t="s">
        <v>171</v>
      </c>
      <c r="L458">
        <v>1</v>
      </c>
      <c r="M458" t="s">
        <v>172</v>
      </c>
      <c r="N458">
        <v>1297</v>
      </c>
    </row>
    <row r="459" spans="1:14">
      <c r="A459">
        <v>46</v>
      </c>
      <c r="B459">
        <v>46196</v>
      </c>
      <c r="C459" t="s">
        <v>24</v>
      </c>
      <c r="D459" t="s">
        <v>73</v>
      </c>
      <c r="E459">
        <v>3</v>
      </c>
      <c r="F459">
        <v>46175</v>
      </c>
      <c r="G459" t="s">
        <v>73</v>
      </c>
      <c r="H459" t="s">
        <v>57</v>
      </c>
      <c r="I459">
        <v>0</v>
      </c>
      <c r="J459">
        <v>2</v>
      </c>
      <c r="K459" t="s">
        <v>69</v>
      </c>
      <c r="L459">
        <v>0</v>
      </c>
      <c r="M459" t="s">
        <v>172</v>
      </c>
      <c r="N459">
        <v>1215</v>
      </c>
    </row>
    <row r="460" spans="1:14">
      <c r="A460">
        <v>46</v>
      </c>
      <c r="B460">
        <v>46196</v>
      </c>
      <c r="C460" t="s">
        <v>24</v>
      </c>
      <c r="D460" t="s">
        <v>73</v>
      </c>
      <c r="E460">
        <v>4</v>
      </c>
      <c r="F460">
        <v>46112</v>
      </c>
      <c r="G460" t="s">
        <v>73</v>
      </c>
      <c r="H460" t="s">
        <v>35</v>
      </c>
      <c r="I460">
        <v>1</v>
      </c>
      <c r="J460">
        <v>3</v>
      </c>
      <c r="K460" t="s">
        <v>69</v>
      </c>
      <c r="L460">
        <v>0</v>
      </c>
      <c r="M460" t="s">
        <v>172</v>
      </c>
      <c r="N460">
        <v>1138</v>
      </c>
    </row>
    <row r="461" spans="1:14">
      <c r="A461">
        <v>46</v>
      </c>
      <c r="B461">
        <v>46196</v>
      </c>
      <c r="C461" t="s">
        <v>24</v>
      </c>
      <c r="D461" t="s">
        <v>73</v>
      </c>
      <c r="E461">
        <v>5</v>
      </c>
      <c r="F461">
        <v>46107</v>
      </c>
      <c r="G461" t="s">
        <v>73</v>
      </c>
      <c r="H461" t="s">
        <v>78</v>
      </c>
      <c r="I461">
        <v>2</v>
      </c>
      <c r="J461">
        <v>1</v>
      </c>
      <c r="K461" t="s">
        <v>171</v>
      </c>
      <c r="L461">
        <v>1</v>
      </c>
      <c r="M461" t="s">
        <v>172</v>
      </c>
      <c r="N461">
        <v>1034</v>
      </c>
    </row>
    <row r="462" spans="1:14">
      <c r="A462">
        <v>47</v>
      </c>
      <c r="B462">
        <v>46196</v>
      </c>
      <c r="C462" t="s">
        <v>19</v>
      </c>
      <c r="D462" t="s">
        <v>75</v>
      </c>
      <c r="E462">
        <v>1</v>
      </c>
      <c r="F462">
        <v>46190</v>
      </c>
      <c r="G462" t="s">
        <v>75</v>
      </c>
      <c r="H462" t="s">
        <v>240</v>
      </c>
      <c r="I462">
        <v>1</v>
      </c>
      <c r="J462">
        <v>1</v>
      </c>
      <c r="K462" t="s">
        <v>27</v>
      </c>
      <c r="L462">
        <v>0</v>
      </c>
      <c r="M462" t="s">
        <v>242</v>
      </c>
      <c r="N462">
        <v>1355</v>
      </c>
    </row>
    <row r="463" spans="1:14">
      <c r="A463">
        <v>47</v>
      </c>
      <c r="B463">
        <v>46196</v>
      </c>
      <c r="C463" t="s">
        <v>19</v>
      </c>
      <c r="D463" t="s">
        <v>75</v>
      </c>
      <c r="E463">
        <v>2</v>
      </c>
      <c r="F463">
        <v>46183</v>
      </c>
      <c r="G463" t="s">
        <v>75</v>
      </c>
      <c r="H463" t="s">
        <v>225</v>
      </c>
      <c r="I463">
        <v>2</v>
      </c>
      <c r="J463">
        <v>1</v>
      </c>
      <c r="K463" t="s">
        <v>171</v>
      </c>
      <c r="L463">
        <v>1</v>
      </c>
      <c r="M463" t="s">
        <v>172</v>
      </c>
      <c r="N463">
        <v>1333</v>
      </c>
    </row>
    <row r="464" spans="1:14">
      <c r="A464">
        <v>47</v>
      </c>
      <c r="B464">
        <v>46196</v>
      </c>
      <c r="C464" t="s">
        <v>19</v>
      </c>
      <c r="D464" t="s">
        <v>75</v>
      </c>
      <c r="E464">
        <v>3</v>
      </c>
      <c r="F464">
        <v>46179</v>
      </c>
      <c r="G464" t="s">
        <v>75</v>
      </c>
      <c r="H464" t="s">
        <v>219</v>
      </c>
      <c r="I464">
        <v>2</v>
      </c>
      <c r="J464">
        <v>1</v>
      </c>
      <c r="K464" t="s">
        <v>171</v>
      </c>
      <c r="L464">
        <v>1</v>
      </c>
      <c r="M464" t="s">
        <v>172</v>
      </c>
      <c r="N464">
        <v>1286</v>
      </c>
    </row>
    <row r="465" spans="1:14">
      <c r="A465">
        <v>47</v>
      </c>
      <c r="B465">
        <v>46196</v>
      </c>
      <c r="C465" t="s">
        <v>19</v>
      </c>
      <c r="D465" t="s">
        <v>75</v>
      </c>
      <c r="E465">
        <v>4</v>
      </c>
      <c r="F465">
        <v>46112</v>
      </c>
      <c r="G465" t="s">
        <v>75</v>
      </c>
      <c r="H465" t="s">
        <v>193</v>
      </c>
      <c r="I465">
        <v>2</v>
      </c>
      <c r="J465">
        <v>0</v>
      </c>
      <c r="K465" t="s">
        <v>171</v>
      </c>
      <c r="L465">
        <v>1</v>
      </c>
      <c r="M465" t="s">
        <v>172</v>
      </c>
      <c r="N465">
        <v>1166</v>
      </c>
    </row>
    <row r="466" spans="1:14">
      <c r="A466">
        <v>47</v>
      </c>
      <c r="B466">
        <v>46196</v>
      </c>
      <c r="C466" t="s">
        <v>19</v>
      </c>
      <c r="D466" t="s">
        <v>75</v>
      </c>
      <c r="E466">
        <v>5</v>
      </c>
      <c r="F466">
        <v>46109</v>
      </c>
      <c r="G466" t="s">
        <v>75</v>
      </c>
      <c r="H466" t="s">
        <v>20</v>
      </c>
      <c r="I466">
        <v>0</v>
      </c>
      <c r="J466">
        <v>0</v>
      </c>
      <c r="K466" t="s">
        <v>27</v>
      </c>
      <c r="L466">
        <v>0</v>
      </c>
      <c r="M466" t="s">
        <v>172</v>
      </c>
      <c r="N466">
        <v>1098</v>
      </c>
    </row>
    <row r="467" spans="1:14">
      <c r="A467">
        <v>47</v>
      </c>
      <c r="B467">
        <v>46196</v>
      </c>
      <c r="C467" t="s">
        <v>24</v>
      </c>
      <c r="D467" t="s">
        <v>77</v>
      </c>
      <c r="E467">
        <v>1</v>
      </c>
      <c r="F467">
        <v>46190</v>
      </c>
      <c r="G467" t="s">
        <v>77</v>
      </c>
      <c r="H467" t="s">
        <v>78</v>
      </c>
      <c r="I467">
        <v>1</v>
      </c>
      <c r="J467">
        <v>3</v>
      </c>
      <c r="K467" t="s">
        <v>69</v>
      </c>
      <c r="L467">
        <v>0</v>
      </c>
      <c r="M467" t="s">
        <v>242</v>
      </c>
      <c r="N467">
        <v>1356</v>
      </c>
    </row>
    <row r="468" spans="1:14">
      <c r="A468">
        <v>47</v>
      </c>
      <c r="B468">
        <v>46196</v>
      </c>
      <c r="C468" t="s">
        <v>24</v>
      </c>
      <c r="D468" t="s">
        <v>77</v>
      </c>
      <c r="E468">
        <v>2</v>
      </c>
      <c r="F468">
        <v>46181</v>
      </c>
      <c r="G468" t="s">
        <v>77</v>
      </c>
      <c r="H468" t="s">
        <v>45</v>
      </c>
      <c r="I468">
        <v>1</v>
      </c>
      <c r="J468">
        <v>2</v>
      </c>
      <c r="K468" t="s">
        <v>69</v>
      </c>
      <c r="L468">
        <v>0</v>
      </c>
      <c r="M468" t="s">
        <v>172</v>
      </c>
      <c r="N468">
        <v>1306</v>
      </c>
    </row>
    <row r="469" spans="1:14">
      <c r="A469">
        <v>47</v>
      </c>
      <c r="B469">
        <v>46196</v>
      </c>
      <c r="C469" t="s">
        <v>24</v>
      </c>
      <c r="D469" t="s">
        <v>77</v>
      </c>
      <c r="E469">
        <v>3</v>
      </c>
      <c r="F469">
        <v>46174</v>
      </c>
      <c r="G469" t="s">
        <v>77</v>
      </c>
      <c r="H469" t="s">
        <v>25</v>
      </c>
      <c r="I469">
        <v>0</v>
      </c>
      <c r="J469">
        <v>2</v>
      </c>
      <c r="K469" t="s">
        <v>69</v>
      </c>
      <c r="L469">
        <v>0</v>
      </c>
      <c r="M469" t="s">
        <v>172</v>
      </c>
      <c r="N469">
        <v>1209</v>
      </c>
    </row>
    <row r="470" spans="1:14">
      <c r="A470">
        <v>47</v>
      </c>
      <c r="B470">
        <v>46196</v>
      </c>
      <c r="C470" t="s">
        <v>24</v>
      </c>
      <c r="D470" t="s">
        <v>77</v>
      </c>
      <c r="E470">
        <v>4</v>
      </c>
      <c r="F470">
        <v>46111</v>
      </c>
      <c r="G470" t="s">
        <v>77</v>
      </c>
      <c r="H470" t="s">
        <v>189</v>
      </c>
      <c r="I470">
        <v>0</v>
      </c>
      <c r="J470">
        <v>0</v>
      </c>
      <c r="K470" t="s">
        <v>27</v>
      </c>
      <c r="L470">
        <v>0</v>
      </c>
      <c r="M470" t="s">
        <v>197</v>
      </c>
      <c r="N470">
        <v>1131</v>
      </c>
    </row>
    <row r="471" spans="1:14">
      <c r="A471">
        <v>47</v>
      </c>
      <c r="B471">
        <v>46196</v>
      </c>
      <c r="C471" t="s">
        <v>24</v>
      </c>
      <c r="D471" t="s">
        <v>77</v>
      </c>
      <c r="E471">
        <v>5</v>
      </c>
      <c r="F471">
        <v>46108</v>
      </c>
      <c r="G471" t="s">
        <v>77</v>
      </c>
      <c r="H471" t="s">
        <v>241</v>
      </c>
      <c r="I471">
        <v>3</v>
      </c>
      <c r="J471">
        <v>1</v>
      </c>
      <c r="K471" t="s">
        <v>171</v>
      </c>
      <c r="L471">
        <v>1</v>
      </c>
      <c r="M471" t="s">
        <v>197</v>
      </c>
      <c r="N471">
        <v>1087</v>
      </c>
    </row>
    <row r="472" spans="1:14">
      <c r="A472">
        <v>48</v>
      </c>
      <c r="B472">
        <v>46196</v>
      </c>
      <c r="C472" t="s">
        <v>19</v>
      </c>
      <c r="D472" t="s">
        <v>78</v>
      </c>
      <c r="E472">
        <v>1</v>
      </c>
      <c r="F472">
        <v>46190</v>
      </c>
      <c r="G472" t="s">
        <v>78</v>
      </c>
      <c r="H472" t="s">
        <v>77</v>
      </c>
      <c r="I472">
        <v>3</v>
      </c>
      <c r="J472">
        <v>1</v>
      </c>
      <c r="K472" t="s">
        <v>171</v>
      </c>
      <c r="L472">
        <v>1</v>
      </c>
      <c r="M472" t="s">
        <v>242</v>
      </c>
      <c r="N472">
        <v>1356</v>
      </c>
    </row>
    <row r="473" spans="1:14">
      <c r="A473">
        <v>48</v>
      </c>
      <c r="B473">
        <v>46196</v>
      </c>
      <c r="C473" t="s">
        <v>19</v>
      </c>
      <c r="D473" t="s">
        <v>78</v>
      </c>
      <c r="E473">
        <v>2</v>
      </c>
      <c r="F473">
        <v>46180</v>
      </c>
      <c r="G473" t="s">
        <v>78</v>
      </c>
      <c r="H473" t="s">
        <v>68</v>
      </c>
      <c r="I473">
        <v>2</v>
      </c>
      <c r="J473">
        <v>0</v>
      </c>
      <c r="K473" t="s">
        <v>171</v>
      </c>
      <c r="L473">
        <v>1</v>
      </c>
      <c r="M473" t="s">
        <v>172</v>
      </c>
      <c r="N473">
        <v>1300</v>
      </c>
    </row>
    <row r="474" spans="1:14">
      <c r="A474">
        <v>48</v>
      </c>
      <c r="B474">
        <v>46196</v>
      </c>
      <c r="C474" t="s">
        <v>19</v>
      </c>
      <c r="D474" t="s">
        <v>78</v>
      </c>
      <c r="E474">
        <v>3</v>
      </c>
      <c r="F474">
        <v>46174</v>
      </c>
      <c r="G474" t="s">
        <v>78</v>
      </c>
      <c r="H474" t="s">
        <v>223</v>
      </c>
      <c r="I474">
        <v>3</v>
      </c>
      <c r="J474">
        <v>1</v>
      </c>
      <c r="K474" t="s">
        <v>171</v>
      </c>
      <c r="L474">
        <v>1</v>
      </c>
      <c r="M474" t="s">
        <v>172</v>
      </c>
      <c r="N474">
        <v>1210</v>
      </c>
    </row>
    <row r="475" spans="1:14">
      <c r="A475">
        <v>48</v>
      </c>
      <c r="B475">
        <v>46196</v>
      </c>
      <c r="C475" t="s">
        <v>19</v>
      </c>
      <c r="D475" t="s">
        <v>78</v>
      </c>
      <c r="E475">
        <v>4</v>
      </c>
      <c r="F475">
        <v>46110</v>
      </c>
      <c r="G475" t="s">
        <v>78</v>
      </c>
      <c r="H475" t="s">
        <v>60</v>
      </c>
      <c r="I475">
        <v>1</v>
      </c>
      <c r="J475">
        <v>3</v>
      </c>
      <c r="K475" t="s">
        <v>69</v>
      </c>
      <c r="L475">
        <v>0</v>
      </c>
      <c r="M475" t="s">
        <v>172</v>
      </c>
      <c r="N475">
        <v>1109</v>
      </c>
    </row>
    <row r="476" spans="1:14">
      <c r="A476">
        <v>48</v>
      </c>
      <c r="B476">
        <v>46196</v>
      </c>
      <c r="C476" t="s">
        <v>19</v>
      </c>
      <c r="D476" t="s">
        <v>78</v>
      </c>
      <c r="E476">
        <v>5</v>
      </c>
      <c r="F476">
        <v>46107</v>
      </c>
      <c r="G476" t="s">
        <v>78</v>
      </c>
      <c r="H476" t="s">
        <v>73</v>
      </c>
      <c r="I476">
        <v>1</v>
      </c>
      <c r="J476">
        <v>2</v>
      </c>
      <c r="K476" t="s">
        <v>69</v>
      </c>
      <c r="L476">
        <v>0</v>
      </c>
      <c r="M476" t="s">
        <v>172</v>
      </c>
      <c r="N476">
        <v>1034</v>
      </c>
    </row>
    <row r="477" spans="1:14">
      <c r="A477">
        <v>48</v>
      </c>
      <c r="B477">
        <v>46196</v>
      </c>
      <c r="C477" t="s">
        <v>24</v>
      </c>
      <c r="D477" t="s">
        <v>76</v>
      </c>
      <c r="E477">
        <v>1</v>
      </c>
      <c r="F477">
        <v>46190</v>
      </c>
      <c r="G477" t="s">
        <v>240</v>
      </c>
      <c r="H477" t="s">
        <v>75</v>
      </c>
      <c r="I477">
        <v>1</v>
      </c>
      <c r="J477">
        <v>1</v>
      </c>
      <c r="K477" t="s">
        <v>27</v>
      </c>
      <c r="L477">
        <v>0</v>
      </c>
      <c r="M477" t="s">
        <v>242</v>
      </c>
      <c r="N477">
        <v>1355</v>
      </c>
    </row>
    <row r="478" spans="1:14">
      <c r="A478">
        <v>48</v>
      </c>
      <c r="B478">
        <v>46196</v>
      </c>
      <c r="C478" t="s">
        <v>24</v>
      </c>
      <c r="D478" t="s">
        <v>76</v>
      </c>
      <c r="E478">
        <v>2</v>
      </c>
      <c r="F478">
        <v>46182</v>
      </c>
      <c r="G478" t="s">
        <v>240</v>
      </c>
      <c r="H478" t="s">
        <v>219</v>
      </c>
      <c r="I478">
        <v>1</v>
      </c>
      <c r="J478">
        <v>2</v>
      </c>
      <c r="K478" t="s">
        <v>69</v>
      </c>
      <c r="L478">
        <v>0</v>
      </c>
      <c r="M478" t="s">
        <v>172</v>
      </c>
      <c r="N478">
        <v>1316</v>
      </c>
    </row>
    <row r="479" spans="1:14">
      <c r="A479">
        <v>48</v>
      </c>
      <c r="B479">
        <v>46196</v>
      </c>
      <c r="C479" t="s">
        <v>24</v>
      </c>
      <c r="D479" t="s">
        <v>76</v>
      </c>
      <c r="E479">
        <v>3</v>
      </c>
      <c r="F479">
        <v>46176</v>
      </c>
      <c r="G479" t="s">
        <v>240</v>
      </c>
      <c r="H479" t="s">
        <v>184</v>
      </c>
      <c r="I479">
        <v>0</v>
      </c>
      <c r="J479">
        <v>0</v>
      </c>
      <c r="K479" t="s">
        <v>27</v>
      </c>
      <c r="L479">
        <v>0</v>
      </c>
      <c r="M479" t="s">
        <v>172</v>
      </c>
      <c r="N479">
        <v>1225</v>
      </c>
    </row>
    <row r="480" spans="1:14">
      <c r="A480">
        <v>48</v>
      </c>
      <c r="B480">
        <v>46196</v>
      </c>
      <c r="C480" t="s">
        <v>24</v>
      </c>
      <c r="D480" t="s">
        <v>76</v>
      </c>
      <c r="E480">
        <v>4</v>
      </c>
      <c r="F480">
        <v>46112</v>
      </c>
      <c r="G480" t="s">
        <v>240</v>
      </c>
      <c r="H480" t="s">
        <v>173</v>
      </c>
      <c r="I480">
        <v>1</v>
      </c>
      <c r="J480">
        <v>0</v>
      </c>
      <c r="K480" t="s">
        <v>171</v>
      </c>
      <c r="L480">
        <v>1</v>
      </c>
      <c r="M480" t="s">
        <v>185</v>
      </c>
      <c r="N480">
        <v>1168</v>
      </c>
    </row>
    <row r="481" spans="1:14">
      <c r="A481">
        <v>48</v>
      </c>
      <c r="B481">
        <v>46196</v>
      </c>
      <c r="C481" t="s">
        <v>24</v>
      </c>
      <c r="D481" t="s">
        <v>76</v>
      </c>
      <c r="E481">
        <v>5</v>
      </c>
      <c r="F481">
        <v>46106</v>
      </c>
      <c r="G481" t="s">
        <v>240</v>
      </c>
      <c r="H481" t="s">
        <v>218</v>
      </c>
      <c r="I481">
        <v>2</v>
      </c>
      <c r="J481">
        <v>0</v>
      </c>
      <c r="K481" t="s">
        <v>171</v>
      </c>
      <c r="L481">
        <v>1</v>
      </c>
      <c r="M481" t="s">
        <v>172</v>
      </c>
      <c r="N481">
        <v>1027</v>
      </c>
    </row>
    <row r="482" spans="1:14">
      <c r="A482">
        <v>49</v>
      </c>
      <c r="B482">
        <v>46197</v>
      </c>
      <c r="C482" t="s">
        <v>19</v>
      </c>
      <c r="D482" t="s">
        <v>32</v>
      </c>
      <c r="E482">
        <v>1</v>
      </c>
      <c r="F482">
        <v>46192</v>
      </c>
      <c r="G482" t="s">
        <v>32</v>
      </c>
      <c r="H482" t="s">
        <v>36</v>
      </c>
      <c r="I482">
        <v>0</v>
      </c>
      <c r="J482">
        <v>1</v>
      </c>
      <c r="K482" t="s">
        <v>69</v>
      </c>
      <c r="L482">
        <v>0</v>
      </c>
      <c r="M482" t="s">
        <v>242</v>
      </c>
      <c r="N482">
        <v>1363</v>
      </c>
    </row>
    <row r="483" spans="1:14">
      <c r="A483">
        <v>49</v>
      </c>
      <c r="B483">
        <v>46197</v>
      </c>
      <c r="C483" t="s">
        <v>19</v>
      </c>
      <c r="D483" t="s">
        <v>32</v>
      </c>
      <c r="E483">
        <v>2</v>
      </c>
      <c r="F483">
        <v>46186</v>
      </c>
      <c r="G483" t="s">
        <v>32</v>
      </c>
      <c r="H483" t="s">
        <v>31</v>
      </c>
      <c r="I483">
        <v>1</v>
      </c>
      <c r="J483">
        <v>0</v>
      </c>
      <c r="K483" t="s">
        <v>171</v>
      </c>
      <c r="L483">
        <v>1</v>
      </c>
      <c r="M483" t="s">
        <v>242</v>
      </c>
      <c r="N483">
        <v>1341</v>
      </c>
    </row>
    <row r="484" spans="1:14">
      <c r="A484">
        <v>49</v>
      </c>
      <c r="B484">
        <v>46197</v>
      </c>
      <c r="C484" t="s">
        <v>19</v>
      </c>
      <c r="D484" t="s">
        <v>32</v>
      </c>
      <c r="E484">
        <v>3</v>
      </c>
      <c r="F484">
        <v>46179</v>
      </c>
      <c r="G484" t="s">
        <v>32</v>
      </c>
      <c r="H484" t="s">
        <v>196</v>
      </c>
      <c r="I484">
        <v>4</v>
      </c>
      <c r="J484">
        <v>0</v>
      </c>
      <c r="K484" t="s">
        <v>171</v>
      </c>
      <c r="L484">
        <v>1</v>
      </c>
      <c r="M484" t="s">
        <v>172</v>
      </c>
      <c r="N484">
        <v>1277</v>
      </c>
    </row>
    <row r="485" spans="1:14">
      <c r="A485">
        <v>49</v>
      </c>
      <c r="B485">
        <v>46197</v>
      </c>
      <c r="C485" t="s">
        <v>19</v>
      </c>
      <c r="D485" t="s">
        <v>32</v>
      </c>
      <c r="E485">
        <v>4</v>
      </c>
      <c r="F485">
        <v>46172</v>
      </c>
      <c r="G485" t="s">
        <v>32</v>
      </c>
      <c r="H485" t="s">
        <v>43</v>
      </c>
      <c r="I485">
        <v>4</v>
      </c>
      <c r="J485">
        <v>1</v>
      </c>
      <c r="K485" t="s">
        <v>171</v>
      </c>
      <c r="L485">
        <v>1</v>
      </c>
      <c r="M485" t="s">
        <v>172</v>
      </c>
      <c r="N485">
        <v>1195</v>
      </c>
    </row>
    <row r="486" spans="1:14">
      <c r="A486">
        <v>49</v>
      </c>
      <c r="B486">
        <v>46197</v>
      </c>
      <c r="C486" t="s">
        <v>19</v>
      </c>
      <c r="D486" t="s">
        <v>32</v>
      </c>
      <c r="E486">
        <v>5</v>
      </c>
      <c r="F486">
        <v>46112</v>
      </c>
      <c r="G486" t="s">
        <v>32</v>
      </c>
      <c r="H486" t="s">
        <v>180</v>
      </c>
      <c r="I486">
        <v>0</v>
      </c>
      <c r="J486">
        <v>1</v>
      </c>
      <c r="K486" t="s">
        <v>69</v>
      </c>
      <c r="L486">
        <v>0</v>
      </c>
      <c r="M486" t="s">
        <v>172</v>
      </c>
      <c r="N486">
        <v>1146</v>
      </c>
    </row>
    <row r="487" spans="1:14">
      <c r="A487">
        <v>49</v>
      </c>
      <c r="B487">
        <v>46197</v>
      </c>
      <c r="C487" t="s">
        <v>24</v>
      </c>
      <c r="D487" t="s">
        <v>35</v>
      </c>
      <c r="E487">
        <v>1</v>
      </c>
      <c r="F487">
        <v>46192</v>
      </c>
      <c r="G487" t="s">
        <v>35</v>
      </c>
      <c r="H487" t="s">
        <v>31</v>
      </c>
      <c r="I487">
        <v>3</v>
      </c>
      <c r="J487">
        <v>0</v>
      </c>
      <c r="K487" t="s">
        <v>171</v>
      </c>
      <c r="L487">
        <v>1</v>
      </c>
      <c r="M487" t="s">
        <v>242</v>
      </c>
      <c r="N487">
        <v>1364</v>
      </c>
    </row>
    <row r="488" spans="1:14">
      <c r="A488">
        <v>49</v>
      </c>
      <c r="B488">
        <v>46197</v>
      </c>
      <c r="C488" t="s">
        <v>24</v>
      </c>
      <c r="D488" t="s">
        <v>35</v>
      </c>
      <c r="E488">
        <v>2</v>
      </c>
      <c r="F488">
        <v>46186</v>
      </c>
      <c r="G488" t="s">
        <v>35</v>
      </c>
      <c r="H488" t="s">
        <v>36</v>
      </c>
      <c r="I488">
        <v>1</v>
      </c>
      <c r="J488">
        <v>1</v>
      </c>
      <c r="K488" t="s">
        <v>27</v>
      </c>
      <c r="L488">
        <v>0</v>
      </c>
      <c r="M488" t="s">
        <v>242</v>
      </c>
      <c r="N488">
        <v>1340</v>
      </c>
    </row>
    <row r="489" spans="1:14">
      <c r="A489">
        <v>49</v>
      </c>
      <c r="B489">
        <v>46197</v>
      </c>
      <c r="C489" t="s">
        <v>24</v>
      </c>
      <c r="D489" t="s">
        <v>35</v>
      </c>
      <c r="E489">
        <v>3</v>
      </c>
      <c r="F489">
        <v>46179</v>
      </c>
      <c r="G489" t="s">
        <v>35</v>
      </c>
      <c r="H489" t="s">
        <v>58</v>
      </c>
      <c r="I489">
        <v>2</v>
      </c>
      <c r="J489">
        <v>1</v>
      </c>
      <c r="K489" t="s">
        <v>171</v>
      </c>
      <c r="L489">
        <v>1</v>
      </c>
      <c r="M489" t="s">
        <v>172</v>
      </c>
      <c r="N489">
        <v>1278</v>
      </c>
    </row>
    <row r="490" spans="1:14">
      <c r="A490">
        <v>49</v>
      </c>
      <c r="B490">
        <v>46197</v>
      </c>
      <c r="C490" t="s">
        <v>24</v>
      </c>
      <c r="D490" t="s">
        <v>35</v>
      </c>
      <c r="E490">
        <v>4</v>
      </c>
      <c r="F490">
        <v>46173</v>
      </c>
      <c r="G490" t="s">
        <v>35</v>
      </c>
      <c r="H490" t="s">
        <v>71</v>
      </c>
      <c r="I490">
        <v>6</v>
      </c>
      <c r="J490">
        <v>2</v>
      </c>
      <c r="K490" t="s">
        <v>171</v>
      </c>
      <c r="L490">
        <v>1</v>
      </c>
      <c r="M490" t="s">
        <v>172</v>
      </c>
      <c r="N490">
        <v>1198</v>
      </c>
    </row>
    <row r="491" spans="1:14">
      <c r="A491">
        <v>49</v>
      </c>
      <c r="B491">
        <v>46197</v>
      </c>
      <c r="C491" t="s">
        <v>24</v>
      </c>
      <c r="D491" t="s">
        <v>35</v>
      </c>
      <c r="E491">
        <v>5</v>
      </c>
      <c r="F491">
        <v>46112</v>
      </c>
      <c r="G491" t="s">
        <v>35</v>
      </c>
      <c r="H491" t="s">
        <v>73</v>
      </c>
      <c r="I491">
        <v>3</v>
      </c>
      <c r="J491">
        <v>1</v>
      </c>
      <c r="K491" t="s">
        <v>171</v>
      </c>
      <c r="L491">
        <v>1</v>
      </c>
      <c r="M491" t="s">
        <v>172</v>
      </c>
      <c r="N491">
        <v>1138</v>
      </c>
    </row>
    <row r="492" spans="1:14">
      <c r="A492">
        <v>50</v>
      </c>
      <c r="B492">
        <v>46197</v>
      </c>
      <c r="C492" t="s">
        <v>19</v>
      </c>
      <c r="D492" t="s">
        <v>36</v>
      </c>
      <c r="E492">
        <v>1</v>
      </c>
      <c r="F492">
        <v>46192</v>
      </c>
      <c r="G492" t="s">
        <v>36</v>
      </c>
      <c r="H492" t="s">
        <v>32</v>
      </c>
      <c r="I492">
        <v>1</v>
      </c>
      <c r="J492">
        <v>0</v>
      </c>
      <c r="K492" t="s">
        <v>171</v>
      </c>
      <c r="L492">
        <v>1</v>
      </c>
      <c r="M492" t="s">
        <v>242</v>
      </c>
      <c r="N492">
        <v>1363</v>
      </c>
    </row>
    <row r="493" spans="1:14">
      <c r="A493">
        <v>50</v>
      </c>
      <c r="B493">
        <v>46197</v>
      </c>
      <c r="C493" t="s">
        <v>19</v>
      </c>
      <c r="D493" t="s">
        <v>36</v>
      </c>
      <c r="E493">
        <v>2</v>
      </c>
      <c r="F493">
        <v>46186</v>
      </c>
      <c r="G493" t="s">
        <v>36</v>
      </c>
      <c r="H493" t="s">
        <v>35</v>
      </c>
      <c r="I493">
        <v>1</v>
      </c>
      <c r="J493">
        <v>1</v>
      </c>
      <c r="K493" t="s">
        <v>27</v>
      </c>
      <c r="L493">
        <v>0</v>
      </c>
      <c r="M493" t="s">
        <v>242</v>
      </c>
      <c r="N493">
        <v>1340</v>
      </c>
    </row>
    <row r="494" spans="1:14">
      <c r="A494">
        <v>50</v>
      </c>
      <c r="B494">
        <v>46197</v>
      </c>
      <c r="C494" t="s">
        <v>19</v>
      </c>
      <c r="D494" t="s">
        <v>36</v>
      </c>
      <c r="E494">
        <v>3</v>
      </c>
      <c r="F494">
        <v>46180</v>
      </c>
      <c r="G494" t="s">
        <v>36</v>
      </c>
      <c r="H494" t="s">
        <v>63</v>
      </c>
      <c r="I494">
        <v>1</v>
      </c>
      <c r="J494">
        <v>1</v>
      </c>
      <c r="K494" t="s">
        <v>27</v>
      </c>
      <c r="L494">
        <v>0</v>
      </c>
      <c r="M494" t="s">
        <v>172</v>
      </c>
      <c r="N494">
        <v>1303</v>
      </c>
    </row>
    <row r="495" spans="1:14">
      <c r="A495">
        <v>50</v>
      </c>
      <c r="B495">
        <v>46197</v>
      </c>
      <c r="C495" t="s">
        <v>19</v>
      </c>
      <c r="D495" t="s">
        <v>36</v>
      </c>
      <c r="E495">
        <v>4</v>
      </c>
      <c r="F495">
        <v>46175</v>
      </c>
      <c r="G495" t="s">
        <v>36</v>
      </c>
      <c r="H495" t="s">
        <v>200</v>
      </c>
      <c r="I495">
        <v>4</v>
      </c>
      <c r="J495">
        <v>0</v>
      </c>
      <c r="K495" t="s">
        <v>171</v>
      </c>
      <c r="L495">
        <v>1</v>
      </c>
      <c r="M495" t="s">
        <v>172</v>
      </c>
      <c r="N495">
        <v>1218</v>
      </c>
    </row>
    <row r="496" spans="1:14">
      <c r="A496">
        <v>50</v>
      </c>
      <c r="B496">
        <v>46197</v>
      </c>
      <c r="C496" t="s">
        <v>19</v>
      </c>
      <c r="D496" t="s">
        <v>36</v>
      </c>
      <c r="E496">
        <v>5</v>
      </c>
      <c r="F496">
        <v>46168</v>
      </c>
      <c r="G496" t="s">
        <v>36</v>
      </c>
      <c r="H496" t="s">
        <v>201</v>
      </c>
      <c r="I496">
        <v>5</v>
      </c>
      <c r="J496">
        <v>0</v>
      </c>
      <c r="K496" t="s">
        <v>171</v>
      </c>
      <c r="L496">
        <v>1</v>
      </c>
      <c r="M496" t="s">
        <v>172</v>
      </c>
      <c r="N496">
        <v>1183</v>
      </c>
    </row>
    <row r="497" spans="1:14">
      <c r="A497">
        <v>50</v>
      </c>
      <c r="B497">
        <v>46197</v>
      </c>
      <c r="C497" t="s">
        <v>24</v>
      </c>
      <c r="D497" t="s">
        <v>31</v>
      </c>
      <c r="E497">
        <v>1</v>
      </c>
      <c r="F497">
        <v>46192</v>
      </c>
      <c r="G497" t="s">
        <v>31</v>
      </c>
      <c r="H497" t="s">
        <v>35</v>
      </c>
      <c r="I497">
        <v>0</v>
      </c>
      <c r="J497">
        <v>3</v>
      </c>
      <c r="K497" t="s">
        <v>69</v>
      </c>
      <c r="L497">
        <v>0</v>
      </c>
      <c r="M497" t="s">
        <v>242</v>
      </c>
      <c r="N497">
        <v>1364</v>
      </c>
    </row>
    <row r="498" spans="1:14">
      <c r="A498">
        <v>50</v>
      </c>
      <c r="B498">
        <v>46197</v>
      </c>
      <c r="C498" t="s">
        <v>24</v>
      </c>
      <c r="D498" t="s">
        <v>31</v>
      </c>
      <c r="E498">
        <v>2</v>
      </c>
      <c r="F498">
        <v>46186</v>
      </c>
      <c r="G498" t="s">
        <v>31</v>
      </c>
      <c r="H498" t="s">
        <v>32</v>
      </c>
      <c r="I498">
        <v>0</v>
      </c>
      <c r="J498">
        <v>1</v>
      </c>
      <c r="K498" t="s">
        <v>69</v>
      </c>
      <c r="L498">
        <v>0</v>
      </c>
      <c r="M498" t="s">
        <v>242</v>
      </c>
      <c r="N498">
        <v>1341</v>
      </c>
    </row>
    <row r="499" spans="1:14">
      <c r="A499">
        <v>50</v>
      </c>
      <c r="B499">
        <v>46197</v>
      </c>
      <c r="C499" t="s">
        <v>24</v>
      </c>
      <c r="D499" t="s">
        <v>31</v>
      </c>
      <c r="E499">
        <v>3</v>
      </c>
      <c r="F499">
        <v>46178</v>
      </c>
      <c r="G499" t="s">
        <v>31</v>
      </c>
      <c r="H499" t="s">
        <v>195</v>
      </c>
      <c r="I499">
        <v>1</v>
      </c>
      <c r="J499">
        <v>2</v>
      </c>
      <c r="K499" t="s">
        <v>69</v>
      </c>
      <c r="L499">
        <v>0</v>
      </c>
      <c r="M499" t="s">
        <v>172</v>
      </c>
      <c r="N499">
        <v>1252</v>
      </c>
    </row>
    <row r="500" spans="1:14">
      <c r="A500">
        <v>50</v>
      </c>
      <c r="B500">
        <v>46197</v>
      </c>
      <c r="C500" t="s">
        <v>24</v>
      </c>
      <c r="D500" t="s">
        <v>31</v>
      </c>
      <c r="E500">
        <v>4</v>
      </c>
      <c r="F500">
        <v>46175</v>
      </c>
      <c r="G500" t="s">
        <v>31</v>
      </c>
      <c r="H500" t="s">
        <v>56</v>
      </c>
      <c r="I500">
        <v>4</v>
      </c>
      <c r="J500">
        <v>0</v>
      </c>
      <c r="K500" t="s">
        <v>171</v>
      </c>
      <c r="L500">
        <v>1</v>
      </c>
      <c r="M500" t="s">
        <v>172</v>
      </c>
      <c r="N500">
        <v>1217</v>
      </c>
    </row>
    <row r="501" spans="1:14">
      <c r="A501">
        <v>50</v>
      </c>
      <c r="B501">
        <v>46197</v>
      </c>
      <c r="C501" t="s">
        <v>24</v>
      </c>
      <c r="D501" t="s">
        <v>31</v>
      </c>
      <c r="E501">
        <v>5</v>
      </c>
      <c r="F501">
        <v>46112</v>
      </c>
      <c r="G501" t="s">
        <v>31</v>
      </c>
      <c r="H501" t="s">
        <v>188</v>
      </c>
      <c r="I501">
        <v>1</v>
      </c>
      <c r="J501">
        <v>1</v>
      </c>
      <c r="K501" t="s">
        <v>27</v>
      </c>
      <c r="L501">
        <v>0</v>
      </c>
      <c r="M501" t="s">
        <v>172</v>
      </c>
      <c r="N501">
        <v>1144</v>
      </c>
    </row>
    <row r="502" spans="1:14">
      <c r="A502">
        <v>51</v>
      </c>
      <c r="B502">
        <v>46197</v>
      </c>
      <c r="C502" t="s">
        <v>19</v>
      </c>
      <c r="D502" t="s">
        <v>38</v>
      </c>
      <c r="E502">
        <v>1</v>
      </c>
      <c r="F502">
        <v>46191</v>
      </c>
      <c r="G502" t="s">
        <v>38</v>
      </c>
      <c r="H502" t="s">
        <v>26</v>
      </c>
      <c r="I502">
        <v>4</v>
      </c>
      <c r="J502">
        <v>1</v>
      </c>
      <c r="K502" t="s">
        <v>171</v>
      </c>
      <c r="L502">
        <v>1</v>
      </c>
      <c r="M502" t="s">
        <v>242</v>
      </c>
      <c r="N502">
        <v>1361</v>
      </c>
    </row>
    <row r="503" spans="1:14">
      <c r="A503">
        <v>51</v>
      </c>
      <c r="B503">
        <v>46197</v>
      </c>
      <c r="C503" t="s">
        <v>19</v>
      </c>
      <c r="D503" t="s">
        <v>38</v>
      </c>
      <c r="E503">
        <v>2</v>
      </c>
      <c r="F503">
        <v>46186</v>
      </c>
      <c r="G503" t="s">
        <v>38</v>
      </c>
      <c r="H503" t="s">
        <v>37</v>
      </c>
      <c r="I503">
        <v>1</v>
      </c>
      <c r="J503">
        <v>1</v>
      </c>
      <c r="K503" t="s">
        <v>27</v>
      </c>
      <c r="L503">
        <v>0</v>
      </c>
      <c r="M503" t="s">
        <v>242</v>
      </c>
      <c r="N503">
        <v>1339</v>
      </c>
    </row>
    <row r="504" spans="1:14">
      <c r="A504">
        <v>51</v>
      </c>
      <c r="B504">
        <v>46197</v>
      </c>
      <c r="C504" t="s">
        <v>19</v>
      </c>
      <c r="D504" t="s">
        <v>38</v>
      </c>
      <c r="E504">
        <v>3</v>
      </c>
      <c r="F504">
        <v>46179</v>
      </c>
      <c r="G504" t="s">
        <v>38</v>
      </c>
      <c r="H504" t="s">
        <v>33</v>
      </c>
      <c r="I504">
        <v>1</v>
      </c>
      <c r="J504">
        <v>1</v>
      </c>
      <c r="K504" t="s">
        <v>27</v>
      </c>
      <c r="L504">
        <v>0</v>
      </c>
      <c r="M504" t="s">
        <v>172</v>
      </c>
      <c r="N504">
        <v>1274</v>
      </c>
    </row>
    <row r="505" spans="1:14">
      <c r="A505">
        <v>51</v>
      </c>
      <c r="B505">
        <v>46197</v>
      </c>
      <c r="C505" t="s">
        <v>19</v>
      </c>
      <c r="D505" t="s">
        <v>38</v>
      </c>
      <c r="E505">
        <v>4</v>
      </c>
      <c r="F505">
        <v>46173</v>
      </c>
      <c r="G505" t="s">
        <v>38</v>
      </c>
      <c r="H505" t="s">
        <v>68</v>
      </c>
      <c r="I505">
        <v>4</v>
      </c>
      <c r="J505">
        <v>1</v>
      </c>
      <c r="K505" t="s">
        <v>171</v>
      </c>
      <c r="L505">
        <v>1</v>
      </c>
      <c r="M505" t="s">
        <v>172</v>
      </c>
      <c r="N505">
        <v>1204</v>
      </c>
    </row>
    <row r="506" spans="1:14">
      <c r="A506">
        <v>51</v>
      </c>
      <c r="B506">
        <v>46197</v>
      </c>
      <c r="C506" t="s">
        <v>19</v>
      </c>
      <c r="D506" t="s">
        <v>38</v>
      </c>
      <c r="E506">
        <v>5</v>
      </c>
      <c r="F506">
        <v>46112</v>
      </c>
      <c r="G506" t="s">
        <v>38</v>
      </c>
      <c r="H506" t="s">
        <v>63</v>
      </c>
      <c r="I506">
        <v>0</v>
      </c>
      <c r="J506">
        <v>0</v>
      </c>
      <c r="K506" t="s">
        <v>27</v>
      </c>
      <c r="L506">
        <v>0</v>
      </c>
      <c r="M506" t="s">
        <v>172</v>
      </c>
      <c r="N506">
        <v>1155</v>
      </c>
    </row>
    <row r="507" spans="1:14">
      <c r="A507">
        <v>51</v>
      </c>
      <c r="B507">
        <v>46197</v>
      </c>
      <c r="C507" t="s">
        <v>24</v>
      </c>
      <c r="D507" t="s">
        <v>25</v>
      </c>
      <c r="E507">
        <v>1</v>
      </c>
      <c r="F507">
        <v>46191</v>
      </c>
      <c r="G507" t="s">
        <v>25</v>
      </c>
      <c r="H507" t="s">
        <v>37</v>
      </c>
      <c r="I507">
        <v>6</v>
      </c>
      <c r="J507">
        <v>0</v>
      </c>
      <c r="K507" t="s">
        <v>171</v>
      </c>
      <c r="L507">
        <v>1</v>
      </c>
      <c r="M507" t="s">
        <v>242</v>
      </c>
      <c r="N507">
        <v>1362</v>
      </c>
    </row>
    <row r="508" spans="1:14">
      <c r="A508">
        <v>51</v>
      </c>
      <c r="B508">
        <v>46197</v>
      </c>
      <c r="C508" t="s">
        <v>24</v>
      </c>
      <c r="D508" t="s">
        <v>25</v>
      </c>
      <c r="E508">
        <v>2</v>
      </c>
      <c r="F508">
        <v>46185</v>
      </c>
      <c r="G508" t="s">
        <v>25</v>
      </c>
      <c r="H508" t="s">
        <v>26</v>
      </c>
      <c r="I508">
        <v>1</v>
      </c>
      <c r="J508">
        <v>1</v>
      </c>
      <c r="K508" t="s">
        <v>27</v>
      </c>
      <c r="L508">
        <v>0</v>
      </c>
      <c r="M508" t="s">
        <v>242</v>
      </c>
      <c r="N508">
        <v>1337</v>
      </c>
    </row>
    <row r="509" spans="1:14">
      <c r="A509">
        <v>51</v>
      </c>
      <c r="B509">
        <v>46197</v>
      </c>
      <c r="C509" t="s">
        <v>24</v>
      </c>
      <c r="D509" t="s">
        <v>25</v>
      </c>
      <c r="E509">
        <v>3</v>
      </c>
      <c r="F509">
        <v>46178</v>
      </c>
      <c r="G509" t="s">
        <v>25</v>
      </c>
      <c r="H509" t="s">
        <v>186</v>
      </c>
      <c r="I509">
        <v>1</v>
      </c>
      <c r="J509">
        <v>1</v>
      </c>
      <c r="K509" t="s">
        <v>27</v>
      </c>
      <c r="L509">
        <v>0</v>
      </c>
      <c r="M509" t="s">
        <v>172</v>
      </c>
      <c r="N509">
        <v>1250</v>
      </c>
    </row>
    <row r="510" spans="1:14">
      <c r="A510">
        <v>51</v>
      </c>
      <c r="B510">
        <v>46197</v>
      </c>
      <c r="C510" t="s">
        <v>24</v>
      </c>
      <c r="D510" t="s">
        <v>25</v>
      </c>
      <c r="E510">
        <v>4</v>
      </c>
      <c r="F510">
        <v>46174</v>
      </c>
      <c r="G510" t="s">
        <v>25</v>
      </c>
      <c r="H510" t="s">
        <v>77</v>
      </c>
      <c r="I510">
        <v>2</v>
      </c>
      <c r="J510">
        <v>0</v>
      </c>
      <c r="K510" t="s">
        <v>171</v>
      </c>
      <c r="L510">
        <v>1</v>
      </c>
      <c r="M510" t="s">
        <v>172</v>
      </c>
      <c r="N510">
        <v>1209</v>
      </c>
    </row>
    <row r="511" spans="1:14">
      <c r="A511">
        <v>51</v>
      </c>
      <c r="B511">
        <v>46197</v>
      </c>
      <c r="C511" t="s">
        <v>24</v>
      </c>
      <c r="D511" t="s">
        <v>25</v>
      </c>
      <c r="E511">
        <v>5</v>
      </c>
      <c r="F511">
        <v>46112</v>
      </c>
      <c r="G511" t="s">
        <v>25</v>
      </c>
      <c r="H511" t="s">
        <v>48</v>
      </c>
      <c r="I511">
        <v>0</v>
      </c>
      <c r="J511">
        <v>0</v>
      </c>
      <c r="K511" t="s">
        <v>27</v>
      </c>
      <c r="L511">
        <v>0</v>
      </c>
      <c r="M511" t="s">
        <v>172</v>
      </c>
      <c r="N511">
        <v>1140</v>
      </c>
    </row>
    <row r="512" spans="1:14">
      <c r="A512">
        <v>52</v>
      </c>
      <c r="B512">
        <v>46197</v>
      </c>
      <c r="C512" t="s">
        <v>19</v>
      </c>
      <c r="D512" t="s">
        <v>26</v>
      </c>
      <c r="E512">
        <v>1</v>
      </c>
      <c r="F512">
        <v>46191</v>
      </c>
      <c r="G512" t="s">
        <v>26</v>
      </c>
      <c r="H512" t="s">
        <v>38</v>
      </c>
      <c r="I512">
        <v>1</v>
      </c>
      <c r="J512">
        <v>4</v>
      </c>
      <c r="K512" t="s">
        <v>69</v>
      </c>
      <c r="L512">
        <v>0</v>
      </c>
      <c r="M512" t="s">
        <v>242</v>
      </c>
      <c r="N512">
        <v>1361</v>
      </c>
    </row>
    <row r="513" spans="1:14">
      <c r="A513">
        <v>52</v>
      </c>
      <c r="B513">
        <v>46197</v>
      </c>
      <c r="C513" t="s">
        <v>19</v>
      </c>
      <c r="D513" t="s">
        <v>26</v>
      </c>
      <c r="E513">
        <v>2</v>
      </c>
      <c r="F513">
        <v>46185</v>
      </c>
      <c r="G513" t="s">
        <v>26</v>
      </c>
      <c r="H513" t="s">
        <v>25</v>
      </c>
      <c r="I513">
        <v>1</v>
      </c>
      <c r="J513">
        <v>1</v>
      </c>
      <c r="K513" t="s">
        <v>27</v>
      </c>
      <c r="L513">
        <v>0</v>
      </c>
      <c r="M513" t="s">
        <v>242</v>
      </c>
      <c r="N513">
        <v>1337</v>
      </c>
    </row>
    <row r="514" spans="1:14">
      <c r="A514">
        <v>52</v>
      </c>
      <c r="B514">
        <v>46197</v>
      </c>
      <c r="C514" t="s">
        <v>19</v>
      </c>
      <c r="D514" t="s">
        <v>26</v>
      </c>
      <c r="E514">
        <v>3</v>
      </c>
      <c r="F514">
        <v>46179</v>
      </c>
      <c r="G514" t="s">
        <v>26</v>
      </c>
      <c r="H514" t="s">
        <v>71</v>
      </c>
      <c r="I514">
        <v>1</v>
      </c>
      <c r="J514">
        <v>1</v>
      </c>
      <c r="K514" t="s">
        <v>27</v>
      </c>
      <c r="L514">
        <v>0</v>
      </c>
      <c r="M514" t="s">
        <v>172</v>
      </c>
      <c r="N514">
        <v>1285</v>
      </c>
    </row>
    <row r="515" spans="1:14">
      <c r="A515">
        <v>52</v>
      </c>
      <c r="B515">
        <v>46197</v>
      </c>
      <c r="C515" t="s">
        <v>19</v>
      </c>
      <c r="D515" t="s">
        <v>26</v>
      </c>
      <c r="E515">
        <v>4</v>
      </c>
      <c r="F515">
        <v>46171</v>
      </c>
      <c r="G515" t="s">
        <v>26</v>
      </c>
      <c r="H515" t="s">
        <v>190</v>
      </c>
      <c r="I515">
        <v>0</v>
      </c>
      <c r="J515">
        <v>0</v>
      </c>
      <c r="K515" t="s">
        <v>27</v>
      </c>
      <c r="L515">
        <v>0</v>
      </c>
      <c r="M515" t="s">
        <v>172</v>
      </c>
      <c r="N515">
        <v>1189</v>
      </c>
    </row>
    <row r="516" spans="1:14">
      <c r="A516">
        <v>52</v>
      </c>
      <c r="B516">
        <v>46197</v>
      </c>
      <c r="C516" t="s">
        <v>19</v>
      </c>
      <c r="D516" t="s">
        <v>26</v>
      </c>
      <c r="E516">
        <v>5</v>
      </c>
      <c r="F516">
        <v>46112</v>
      </c>
      <c r="G516" t="s">
        <v>26</v>
      </c>
      <c r="H516" t="s">
        <v>191</v>
      </c>
      <c r="I516">
        <v>1</v>
      </c>
      <c r="J516">
        <v>1</v>
      </c>
      <c r="K516" t="s">
        <v>27</v>
      </c>
      <c r="L516">
        <v>0</v>
      </c>
      <c r="M516" t="s">
        <v>185</v>
      </c>
      <c r="N516">
        <v>1170</v>
      </c>
    </row>
    <row r="517" spans="1:14">
      <c r="A517">
        <v>52</v>
      </c>
      <c r="B517">
        <v>46197</v>
      </c>
      <c r="C517" t="s">
        <v>24</v>
      </c>
      <c r="D517" t="s">
        <v>37</v>
      </c>
      <c r="E517">
        <v>1</v>
      </c>
      <c r="F517">
        <v>46191</v>
      </c>
      <c r="G517" t="s">
        <v>37</v>
      </c>
      <c r="H517" t="s">
        <v>25</v>
      </c>
      <c r="I517">
        <v>0</v>
      </c>
      <c r="J517">
        <v>6</v>
      </c>
      <c r="K517" t="s">
        <v>69</v>
      </c>
      <c r="L517">
        <v>0</v>
      </c>
      <c r="M517" t="s">
        <v>242</v>
      </c>
      <c r="N517">
        <v>1362</v>
      </c>
    </row>
    <row r="518" spans="1:14">
      <c r="A518">
        <v>52</v>
      </c>
      <c r="B518">
        <v>46197</v>
      </c>
      <c r="C518" t="s">
        <v>24</v>
      </c>
      <c r="D518" t="s">
        <v>37</v>
      </c>
      <c r="E518">
        <v>2</v>
      </c>
      <c r="F518">
        <v>46186</v>
      </c>
      <c r="G518" t="s">
        <v>37</v>
      </c>
      <c r="H518" t="s">
        <v>38</v>
      </c>
      <c r="I518">
        <v>1</v>
      </c>
      <c r="J518">
        <v>1</v>
      </c>
      <c r="K518" t="s">
        <v>27</v>
      </c>
      <c r="L518">
        <v>0</v>
      </c>
      <c r="M518" t="s">
        <v>242</v>
      </c>
      <c r="N518">
        <v>1339</v>
      </c>
    </row>
    <row r="519" spans="1:14">
      <c r="A519">
        <v>52</v>
      </c>
      <c r="B519">
        <v>46197</v>
      </c>
      <c r="C519" t="s">
        <v>24</v>
      </c>
      <c r="D519" t="s">
        <v>37</v>
      </c>
      <c r="E519">
        <v>3</v>
      </c>
      <c r="F519">
        <v>46179</v>
      </c>
      <c r="G519" t="s">
        <v>37</v>
      </c>
      <c r="H519" t="s">
        <v>178</v>
      </c>
      <c r="I519">
        <v>0</v>
      </c>
      <c r="J519">
        <v>0</v>
      </c>
      <c r="K519" t="s">
        <v>27</v>
      </c>
      <c r="L519">
        <v>0</v>
      </c>
      <c r="M519" t="s">
        <v>172</v>
      </c>
      <c r="N519">
        <v>1287</v>
      </c>
    </row>
    <row r="520" spans="1:14">
      <c r="A520">
        <v>52</v>
      </c>
      <c r="B520">
        <v>46197</v>
      </c>
      <c r="C520" t="s">
        <v>24</v>
      </c>
      <c r="D520" t="s">
        <v>37</v>
      </c>
      <c r="E520">
        <v>4</v>
      </c>
      <c r="F520">
        <v>46170</v>
      </c>
      <c r="G520" t="s">
        <v>37</v>
      </c>
      <c r="H520" t="s">
        <v>186</v>
      </c>
      <c r="I520">
        <v>0</v>
      </c>
      <c r="J520">
        <v>1</v>
      </c>
      <c r="K520" t="s">
        <v>69</v>
      </c>
      <c r="L520">
        <v>0</v>
      </c>
      <c r="M520" t="s">
        <v>172</v>
      </c>
      <c r="N520">
        <v>1186</v>
      </c>
    </row>
    <row r="521" spans="1:14">
      <c r="A521">
        <v>52</v>
      </c>
      <c r="B521">
        <v>46197</v>
      </c>
      <c r="C521" t="s">
        <v>24</v>
      </c>
      <c r="D521" t="s">
        <v>37</v>
      </c>
      <c r="E521">
        <v>5</v>
      </c>
      <c r="F521">
        <v>45998</v>
      </c>
      <c r="G521" t="s">
        <v>37</v>
      </c>
      <c r="H521" t="s">
        <v>48</v>
      </c>
      <c r="I521">
        <v>0</v>
      </c>
      <c r="J521">
        <v>3</v>
      </c>
      <c r="K521" t="s">
        <v>69</v>
      </c>
      <c r="L521">
        <v>0</v>
      </c>
      <c r="M521" t="s">
        <v>202</v>
      </c>
      <c r="N521">
        <v>953</v>
      </c>
    </row>
    <row r="522" spans="1:14">
      <c r="A522">
        <v>53</v>
      </c>
      <c r="B522">
        <v>46197</v>
      </c>
      <c r="C522" t="s">
        <v>19</v>
      </c>
      <c r="D522" t="s">
        <v>23</v>
      </c>
      <c r="E522">
        <v>1</v>
      </c>
      <c r="F522">
        <v>46191</v>
      </c>
      <c r="G522" t="s">
        <v>181</v>
      </c>
      <c r="H522" t="s">
        <v>21</v>
      </c>
      <c r="I522">
        <v>1</v>
      </c>
      <c r="J522">
        <v>1</v>
      </c>
      <c r="K522" t="s">
        <v>27</v>
      </c>
      <c r="L522">
        <v>0</v>
      </c>
      <c r="M522" t="s">
        <v>242</v>
      </c>
      <c r="N522">
        <v>1359</v>
      </c>
    </row>
    <row r="523" spans="1:14">
      <c r="A523">
        <v>53</v>
      </c>
      <c r="B523">
        <v>46197</v>
      </c>
      <c r="C523" t="s">
        <v>19</v>
      </c>
      <c r="D523" t="s">
        <v>23</v>
      </c>
      <c r="E523">
        <v>2</v>
      </c>
      <c r="F523">
        <v>46184</v>
      </c>
      <c r="G523" t="s">
        <v>181</v>
      </c>
      <c r="H523" t="s">
        <v>177</v>
      </c>
      <c r="I523">
        <v>1</v>
      </c>
      <c r="J523">
        <v>2</v>
      </c>
      <c r="K523" t="s">
        <v>69</v>
      </c>
      <c r="L523">
        <v>0</v>
      </c>
      <c r="M523" t="s">
        <v>242</v>
      </c>
      <c r="N523">
        <v>1336</v>
      </c>
    </row>
    <row r="524" spans="1:14">
      <c r="A524">
        <v>53</v>
      </c>
      <c r="B524">
        <v>46197</v>
      </c>
      <c r="C524" t="s">
        <v>19</v>
      </c>
      <c r="D524" t="s">
        <v>23</v>
      </c>
      <c r="E524">
        <v>3</v>
      </c>
      <c r="F524">
        <v>46177</v>
      </c>
      <c r="G524" t="s">
        <v>181</v>
      </c>
      <c r="H524" t="s">
        <v>182</v>
      </c>
      <c r="I524">
        <v>5</v>
      </c>
      <c r="J524">
        <v>1</v>
      </c>
      <c r="K524" t="s">
        <v>171</v>
      </c>
      <c r="L524">
        <v>1</v>
      </c>
      <c r="M524" t="s">
        <v>172</v>
      </c>
      <c r="N524">
        <v>1239</v>
      </c>
    </row>
    <row r="525" spans="1:14">
      <c r="A525">
        <v>53</v>
      </c>
      <c r="B525">
        <v>46197</v>
      </c>
      <c r="C525" t="s">
        <v>19</v>
      </c>
      <c r="D525" t="s">
        <v>23</v>
      </c>
      <c r="E525">
        <v>4</v>
      </c>
      <c r="F525">
        <v>46173</v>
      </c>
      <c r="G525" t="s">
        <v>181</v>
      </c>
      <c r="H525" t="s">
        <v>183</v>
      </c>
      <c r="I525">
        <v>2</v>
      </c>
      <c r="J525">
        <v>1</v>
      </c>
      <c r="K525" t="s">
        <v>171</v>
      </c>
      <c r="L525">
        <v>1</v>
      </c>
      <c r="M525" t="s">
        <v>172</v>
      </c>
      <c r="N525">
        <v>1200</v>
      </c>
    </row>
    <row r="526" spans="1:14">
      <c r="A526">
        <v>53</v>
      </c>
      <c r="B526">
        <v>46197</v>
      </c>
      <c r="C526" t="s">
        <v>19</v>
      </c>
      <c r="D526" t="s">
        <v>23</v>
      </c>
      <c r="E526">
        <v>5</v>
      </c>
      <c r="F526">
        <v>46112</v>
      </c>
      <c r="G526" t="s">
        <v>181</v>
      </c>
      <c r="H526" t="s">
        <v>184</v>
      </c>
      <c r="I526">
        <v>2</v>
      </c>
      <c r="J526">
        <v>2</v>
      </c>
      <c r="K526" t="s">
        <v>27</v>
      </c>
      <c r="L526">
        <v>0</v>
      </c>
      <c r="M526" t="s">
        <v>185</v>
      </c>
      <c r="N526">
        <v>1173</v>
      </c>
    </row>
    <row r="527" spans="1:14">
      <c r="A527">
        <v>53</v>
      </c>
      <c r="B527">
        <v>46197</v>
      </c>
      <c r="C527" t="s">
        <v>24</v>
      </c>
      <c r="D527" t="s">
        <v>20</v>
      </c>
      <c r="E527">
        <v>1</v>
      </c>
      <c r="F527">
        <v>46191</v>
      </c>
      <c r="G527" t="s">
        <v>20</v>
      </c>
      <c r="H527" t="s">
        <v>177</v>
      </c>
      <c r="I527">
        <v>1</v>
      </c>
      <c r="J527">
        <v>0</v>
      </c>
      <c r="K527" t="s">
        <v>171</v>
      </c>
      <c r="L527">
        <v>1</v>
      </c>
      <c r="M527" t="s">
        <v>242</v>
      </c>
      <c r="N527">
        <v>1360</v>
      </c>
    </row>
    <row r="528" spans="1:14">
      <c r="A528">
        <v>53</v>
      </c>
      <c r="B528">
        <v>46197</v>
      </c>
      <c r="C528" t="s">
        <v>24</v>
      </c>
      <c r="D528" t="s">
        <v>20</v>
      </c>
      <c r="E528">
        <v>2</v>
      </c>
      <c r="F528">
        <v>46184</v>
      </c>
      <c r="G528" t="s">
        <v>20</v>
      </c>
      <c r="H528" t="s">
        <v>21</v>
      </c>
      <c r="I528">
        <v>2</v>
      </c>
      <c r="J528">
        <v>0</v>
      </c>
      <c r="K528" t="s">
        <v>171</v>
      </c>
      <c r="L528">
        <v>1</v>
      </c>
      <c r="M528" t="s">
        <v>242</v>
      </c>
      <c r="N528">
        <v>1335</v>
      </c>
    </row>
    <row r="529" spans="1:14">
      <c r="A529">
        <v>53</v>
      </c>
      <c r="B529">
        <v>46197</v>
      </c>
      <c r="C529" t="s">
        <v>24</v>
      </c>
      <c r="D529" t="s">
        <v>20</v>
      </c>
      <c r="E529">
        <v>3</v>
      </c>
      <c r="F529">
        <v>46177</v>
      </c>
      <c r="G529" t="s">
        <v>20</v>
      </c>
      <c r="H529" t="s">
        <v>170</v>
      </c>
      <c r="I529">
        <v>5</v>
      </c>
      <c r="J529">
        <v>1</v>
      </c>
      <c r="K529" t="s">
        <v>171</v>
      </c>
      <c r="L529">
        <v>1</v>
      </c>
      <c r="M529" t="s">
        <v>172</v>
      </c>
      <c r="N529">
        <v>1242</v>
      </c>
    </row>
    <row r="530" spans="1:14">
      <c r="A530">
        <v>53</v>
      </c>
      <c r="B530">
        <v>46197</v>
      </c>
      <c r="C530" t="s">
        <v>24</v>
      </c>
      <c r="D530" t="s">
        <v>20</v>
      </c>
      <c r="E530">
        <v>4</v>
      </c>
      <c r="F530">
        <v>46172</v>
      </c>
      <c r="G530" t="s">
        <v>20</v>
      </c>
      <c r="H530" t="s">
        <v>33</v>
      </c>
      <c r="I530">
        <v>1</v>
      </c>
      <c r="J530">
        <v>0</v>
      </c>
      <c r="K530" t="s">
        <v>171</v>
      </c>
      <c r="L530">
        <v>1</v>
      </c>
      <c r="M530" t="s">
        <v>172</v>
      </c>
      <c r="N530">
        <v>1194</v>
      </c>
    </row>
    <row r="531" spans="1:14">
      <c r="A531">
        <v>53</v>
      </c>
      <c r="B531">
        <v>46197</v>
      </c>
      <c r="C531" t="s">
        <v>24</v>
      </c>
      <c r="D531" t="s">
        <v>20</v>
      </c>
      <c r="E531">
        <v>5</v>
      </c>
      <c r="F531">
        <v>46164</v>
      </c>
      <c r="G531" t="s">
        <v>20</v>
      </c>
      <c r="H531" t="s">
        <v>70</v>
      </c>
      <c r="I531">
        <v>2</v>
      </c>
      <c r="J531">
        <v>0</v>
      </c>
      <c r="K531" t="s">
        <v>171</v>
      </c>
      <c r="L531">
        <v>1</v>
      </c>
      <c r="M531" t="s">
        <v>172</v>
      </c>
      <c r="N531">
        <v>1182</v>
      </c>
    </row>
    <row r="532" spans="1:14">
      <c r="A532">
        <v>54</v>
      </c>
      <c r="B532">
        <v>46197</v>
      </c>
      <c r="C532" t="s">
        <v>19</v>
      </c>
      <c r="D532" t="s">
        <v>21</v>
      </c>
      <c r="E532">
        <v>1</v>
      </c>
      <c r="F532">
        <v>46191</v>
      </c>
      <c r="G532" t="s">
        <v>21</v>
      </c>
      <c r="H532" t="s">
        <v>181</v>
      </c>
      <c r="I532">
        <v>1</v>
      </c>
      <c r="J532">
        <v>1</v>
      </c>
      <c r="K532" t="s">
        <v>27</v>
      </c>
      <c r="L532">
        <v>0</v>
      </c>
      <c r="M532" t="s">
        <v>242</v>
      </c>
      <c r="N532">
        <v>1359</v>
      </c>
    </row>
    <row r="533" spans="1:14">
      <c r="A533">
        <v>54</v>
      </c>
      <c r="B533">
        <v>46197</v>
      </c>
      <c r="C533" t="s">
        <v>19</v>
      </c>
      <c r="D533" t="s">
        <v>21</v>
      </c>
      <c r="E533">
        <v>2</v>
      </c>
      <c r="F533">
        <v>46184</v>
      </c>
      <c r="G533" t="s">
        <v>21</v>
      </c>
      <c r="H533" t="s">
        <v>20</v>
      </c>
      <c r="I533">
        <v>0</v>
      </c>
      <c r="J533">
        <v>2</v>
      </c>
      <c r="K533" t="s">
        <v>69</v>
      </c>
      <c r="L533">
        <v>0</v>
      </c>
      <c r="M533" t="s">
        <v>242</v>
      </c>
      <c r="N533">
        <v>1335</v>
      </c>
    </row>
    <row r="534" spans="1:14">
      <c r="A534">
        <v>54</v>
      </c>
      <c r="B534">
        <v>46197</v>
      </c>
      <c r="C534" t="s">
        <v>19</v>
      </c>
      <c r="D534" t="s">
        <v>21</v>
      </c>
      <c r="E534">
        <v>3</v>
      </c>
      <c r="F534">
        <v>46179</v>
      </c>
      <c r="G534" t="s">
        <v>21</v>
      </c>
      <c r="H534" t="s">
        <v>173</v>
      </c>
      <c r="I534">
        <v>1</v>
      </c>
      <c r="J534">
        <v>0</v>
      </c>
      <c r="K534" t="s">
        <v>171</v>
      </c>
      <c r="L534">
        <v>1</v>
      </c>
      <c r="M534" t="s">
        <v>172</v>
      </c>
      <c r="N534">
        <v>1283</v>
      </c>
    </row>
    <row r="535" spans="1:14">
      <c r="A535">
        <v>54</v>
      </c>
      <c r="B535">
        <v>46197</v>
      </c>
      <c r="C535" t="s">
        <v>19</v>
      </c>
      <c r="D535" t="s">
        <v>21</v>
      </c>
      <c r="E535">
        <v>4</v>
      </c>
      <c r="F535">
        <v>46171</v>
      </c>
      <c r="G535" t="s">
        <v>21</v>
      </c>
      <c r="H535" t="s">
        <v>174</v>
      </c>
      <c r="I535">
        <v>0</v>
      </c>
      <c r="J535">
        <v>0</v>
      </c>
      <c r="K535" t="s">
        <v>27</v>
      </c>
      <c r="L535">
        <v>0</v>
      </c>
      <c r="M535" t="s">
        <v>172</v>
      </c>
      <c r="N535">
        <v>1191</v>
      </c>
    </row>
    <row r="536" spans="1:14">
      <c r="A536">
        <v>54</v>
      </c>
      <c r="B536">
        <v>46197</v>
      </c>
      <c r="C536" t="s">
        <v>19</v>
      </c>
      <c r="D536" t="s">
        <v>21</v>
      </c>
      <c r="E536">
        <v>5</v>
      </c>
      <c r="F536">
        <v>46112</v>
      </c>
      <c r="G536" t="s">
        <v>21</v>
      </c>
      <c r="H536" t="s">
        <v>71</v>
      </c>
      <c r="I536">
        <v>1</v>
      </c>
      <c r="J536">
        <v>2</v>
      </c>
      <c r="K536" t="s">
        <v>69</v>
      </c>
      <c r="L536">
        <v>0</v>
      </c>
      <c r="M536" t="s">
        <v>172</v>
      </c>
      <c r="N536">
        <v>1163</v>
      </c>
    </row>
    <row r="537" spans="1:14">
      <c r="A537">
        <v>54</v>
      </c>
      <c r="B537">
        <v>46197</v>
      </c>
      <c r="C537" t="s">
        <v>24</v>
      </c>
      <c r="D537" t="s">
        <v>22</v>
      </c>
      <c r="E537">
        <v>1</v>
      </c>
      <c r="F537">
        <v>46191</v>
      </c>
      <c r="G537" t="s">
        <v>177</v>
      </c>
      <c r="H537" t="s">
        <v>20</v>
      </c>
      <c r="I537">
        <v>0</v>
      </c>
      <c r="J537">
        <v>1</v>
      </c>
      <c r="K537" t="s">
        <v>69</v>
      </c>
      <c r="L537">
        <v>0</v>
      </c>
      <c r="M537" t="s">
        <v>242</v>
      </c>
      <c r="N537">
        <v>1360</v>
      </c>
    </row>
    <row r="538" spans="1:14">
      <c r="A538">
        <v>54</v>
      </c>
      <c r="B538">
        <v>46197</v>
      </c>
      <c r="C538" t="s">
        <v>24</v>
      </c>
      <c r="D538" t="s">
        <v>22</v>
      </c>
      <c r="E538">
        <v>2</v>
      </c>
      <c r="F538">
        <v>46184</v>
      </c>
      <c r="G538" t="s">
        <v>177</v>
      </c>
      <c r="H538" t="s">
        <v>181</v>
      </c>
      <c r="I538">
        <v>2</v>
      </c>
      <c r="J538">
        <v>1</v>
      </c>
      <c r="K538" t="s">
        <v>171</v>
      </c>
      <c r="L538">
        <v>1</v>
      </c>
      <c r="M538" t="s">
        <v>242</v>
      </c>
      <c r="N538">
        <v>1336</v>
      </c>
    </row>
    <row r="539" spans="1:14">
      <c r="A539">
        <v>54</v>
      </c>
      <c r="B539">
        <v>46197</v>
      </c>
      <c r="C539" t="s">
        <v>24</v>
      </c>
      <c r="D539" t="s">
        <v>22</v>
      </c>
      <c r="E539">
        <v>3</v>
      </c>
      <c r="F539">
        <v>46176</v>
      </c>
      <c r="G539" t="s">
        <v>177</v>
      </c>
      <c r="H539" t="s">
        <v>178</v>
      </c>
      <c r="I539">
        <v>1</v>
      </c>
      <c r="J539">
        <v>0</v>
      </c>
      <c r="K539" t="s">
        <v>171</v>
      </c>
      <c r="L539">
        <v>1</v>
      </c>
      <c r="M539" t="s">
        <v>172</v>
      </c>
      <c r="N539">
        <v>1227</v>
      </c>
    </row>
    <row r="540" spans="1:14">
      <c r="A540">
        <v>54</v>
      </c>
      <c r="B540">
        <v>46197</v>
      </c>
      <c r="C540" t="s">
        <v>24</v>
      </c>
      <c r="D540" t="s">
        <v>22</v>
      </c>
      <c r="E540">
        <v>4</v>
      </c>
      <c r="F540">
        <v>46172</v>
      </c>
      <c r="G540" t="s">
        <v>177</v>
      </c>
      <c r="H540" t="s">
        <v>179</v>
      </c>
      <c r="I540">
        <v>5</v>
      </c>
      <c r="J540">
        <v>0</v>
      </c>
      <c r="K540" t="s">
        <v>171</v>
      </c>
      <c r="L540">
        <v>1</v>
      </c>
      <c r="M540" t="s">
        <v>172</v>
      </c>
      <c r="N540">
        <v>1193</v>
      </c>
    </row>
    <row r="541" spans="1:14">
      <c r="A541">
        <v>54</v>
      </c>
      <c r="B541">
        <v>46197</v>
      </c>
      <c r="C541" t="s">
        <v>24</v>
      </c>
      <c r="D541" t="s">
        <v>22</v>
      </c>
      <c r="E541">
        <v>5</v>
      </c>
      <c r="F541">
        <v>46112</v>
      </c>
      <c r="G541" t="s">
        <v>177</v>
      </c>
      <c r="H541" t="s">
        <v>67</v>
      </c>
      <c r="I541">
        <v>0</v>
      </c>
      <c r="J541">
        <v>1</v>
      </c>
      <c r="K541" t="s">
        <v>69</v>
      </c>
      <c r="L541">
        <v>0</v>
      </c>
      <c r="M541" t="s">
        <v>172</v>
      </c>
      <c r="N541">
        <v>1136</v>
      </c>
    </row>
    <row r="542" spans="1:14">
      <c r="A542">
        <v>55</v>
      </c>
      <c r="B542">
        <v>46198</v>
      </c>
      <c r="C542" t="s">
        <v>19</v>
      </c>
      <c r="D542" t="s">
        <v>43</v>
      </c>
      <c r="E542">
        <v>1</v>
      </c>
      <c r="F542">
        <v>46193</v>
      </c>
      <c r="G542" t="s">
        <v>43</v>
      </c>
      <c r="H542" t="s">
        <v>41</v>
      </c>
      <c r="I542">
        <v>0</v>
      </c>
      <c r="J542">
        <v>0</v>
      </c>
      <c r="K542" t="s">
        <v>27</v>
      </c>
      <c r="L542">
        <v>0</v>
      </c>
      <c r="M542" t="s">
        <v>242</v>
      </c>
      <c r="N542">
        <v>1368</v>
      </c>
    </row>
    <row r="543" spans="1:14">
      <c r="A543">
        <v>55</v>
      </c>
      <c r="B543">
        <v>46198</v>
      </c>
      <c r="C543" t="s">
        <v>19</v>
      </c>
      <c r="D543" t="s">
        <v>43</v>
      </c>
      <c r="E543">
        <v>2</v>
      </c>
      <c r="F543">
        <v>46187</v>
      </c>
      <c r="G543" t="s">
        <v>43</v>
      </c>
      <c r="H543" t="s">
        <v>42</v>
      </c>
      <c r="I543">
        <v>1</v>
      </c>
      <c r="J543">
        <v>7</v>
      </c>
      <c r="K543" t="s">
        <v>69</v>
      </c>
      <c r="L543">
        <v>0</v>
      </c>
      <c r="M543" t="s">
        <v>242</v>
      </c>
      <c r="N543">
        <v>1343</v>
      </c>
    </row>
    <row r="544" spans="1:14">
      <c r="A544">
        <v>55</v>
      </c>
      <c r="B544">
        <v>46198</v>
      </c>
      <c r="C544" t="s">
        <v>19</v>
      </c>
      <c r="D544" t="s">
        <v>43</v>
      </c>
      <c r="E544">
        <v>3</v>
      </c>
      <c r="F544">
        <v>46179</v>
      </c>
      <c r="G544" t="s">
        <v>43</v>
      </c>
      <c r="H544" t="s">
        <v>208</v>
      </c>
      <c r="I544">
        <v>4</v>
      </c>
      <c r="J544">
        <v>0</v>
      </c>
      <c r="K544" t="s">
        <v>171</v>
      </c>
      <c r="L544">
        <v>1</v>
      </c>
      <c r="M544" t="s">
        <v>172</v>
      </c>
      <c r="N544">
        <v>1279</v>
      </c>
    </row>
    <row r="545" spans="1:14">
      <c r="A545">
        <v>55</v>
      </c>
      <c r="B545">
        <v>46198</v>
      </c>
      <c r="C545" t="s">
        <v>19</v>
      </c>
      <c r="D545" t="s">
        <v>43</v>
      </c>
      <c r="E545">
        <v>4</v>
      </c>
      <c r="F545">
        <v>46172</v>
      </c>
      <c r="G545" t="s">
        <v>43</v>
      </c>
      <c r="H545" t="s">
        <v>32</v>
      </c>
      <c r="I545">
        <v>1</v>
      </c>
      <c r="J545">
        <v>4</v>
      </c>
      <c r="K545" t="s">
        <v>69</v>
      </c>
      <c r="L545">
        <v>0</v>
      </c>
      <c r="M545" t="s">
        <v>172</v>
      </c>
      <c r="N545">
        <v>1195</v>
      </c>
    </row>
    <row r="546" spans="1:14">
      <c r="A546">
        <v>55</v>
      </c>
      <c r="B546">
        <v>46198</v>
      </c>
      <c r="C546" t="s">
        <v>19</v>
      </c>
      <c r="D546" t="s">
        <v>43</v>
      </c>
      <c r="E546">
        <v>5</v>
      </c>
      <c r="F546">
        <v>46112</v>
      </c>
      <c r="G546" t="s">
        <v>43</v>
      </c>
      <c r="H546" t="s">
        <v>33</v>
      </c>
      <c r="I546">
        <v>1</v>
      </c>
      <c r="J546">
        <v>5</v>
      </c>
      <c r="K546" t="s">
        <v>69</v>
      </c>
      <c r="L546">
        <v>0</v>
      </c>
      <c r="M546" t="s">
        <v>197</v>
      </c>
      <c r="N546">
        <v>1175</v>
      </c>
    </row>
    <row r="547" spans="1:14">
      <c r="A547">
        <v>55</v>
      </c>
      <c r="B547">
        <v>46198</v>
      </c>
      <c r="C547" t="s">
        <v>24</v>
      </c>
      <c r="D547" t="s">
        <v>40</v>
      </c>
      <c r="E547">
        <v>1</v>
      </c>
      <c r="F547">
        <v>46193</v>
      </c>
      <c r="G547" t="s">
        <v>180</v>
      </c>
      <c r="H547" t="s">
        <v>42</v>
      </c>
      <c r="I547">
        <v>1</v>
      </c>
      <c r="J547">
        <v>2</v>
      </c>
      <c r="K547" t="s">
        <v>69</v>
      </c>
      <c r="L547">
        <v>0</v>
      </c>
      <c r="M547" t="s">
        <v>242</v>
      </c>
      <c r="N547">
        <v>1367</v>
      </c>
    </row>
    <row r="548" spans="1:14">
      <c r="A548">
        <v>55</v>
      </c>
      <c r="B548">
        <v>46198</v>
      </c>
      <c r="C548" t="s">
        <v>24</v>
      </c>
      <c r="D548" t="s">
        <v>40</v>
      </c>
      <c r="E548">
        <v>2</v>
      </c>
      <c r="F548">
        <v>46187</v>
      </c>
      <c r="G548" t="s">
        <v>180</v>
      </c>
      <c r="H548" t="s">
        <v>41</v>
      </c>
      <c r="I548">
        <v>1</v>
      </c>
      <c r="J548">
        <v>0</v>
      </c>
      <c r="K548" t="s">
        <v>171</v>
      </c>
      <c r="L548">
        <v>1</v>
      </c>
      <c r="M548" t="s">
        <v>242</v>
      </c>
      <c r="N548">
        <v>1344</v>
      </c>
    </row>
    <row r="549" spans="1:14">
      <c r="A549">
        <v>55</v>
      </c>
      <c r="B549">
        <v>46198</v>
      </c>
      <c r="C549" t="s">
        <v>24</v>
      </c>
      <c r="D549" t="s">
        <v>40</v>
      </c>
      <c r="E549">
        <v>3</v>
      </c>
      <c r="F549">
        <v>46177</v>
      </c>
      <c r="G549" t="s">
        <v>180</v>
      </c>
      <c r="H549" t="s">
        <v>60</v>
      </c>
      <c r="I549">
        <v>2</v>
      </c>
      <c r="J549">
        <v>1</v>
      </c>
      <c r="K549" t="s">
        <v>171</v>
      </c>
      <c r="L549">
        <v>1</v>
      </c>
      <c r="M549" t="s">
        <v>172</v>
      </c>
      <c r="N549">
        <v>1238</v>
      </c>
    </row>
    <row r="550" spans="1:14">
      <c r="A550">
        <v>55</v>
      </c>
      <c r="B550">
        <v>46198</v>
      </c>
      <c r="C550" t="s">
        <v>24</v>
      </c>
      <c r="D550" t="s">
        <v>40</v>
      </c>
      <c r="E550">
        <v>4</v>
      </c>
      <c r="F550">
        <v>46112</v>
      </c>
      <c r="G550" t="s">
        <v>180</v>
      </c>
      <c r="H550" t="s">
        <v>32</v>
      </c>
      <c r="I550">
        <v>1</v>
      </c>
      <c r="J550">
        <v>0</v>
      </c>
      <c r="K550" t="s">
        <v>171</v>
      </c>
      <c r="L550">
        <v>1</v>
      </c>
      <c r="M550" t="s">
        <v>172</v>
      </c>
      <c r="N550">
        <v>1146</v>
      </c>
    </row>
    <row r="551" spans="1:14">
      <c r="A551">
        <v>55</v>
      </c>
      <c r="B551">
        <v>46198</v>
      </c>
      <c r="C551" t="s">
        <v>24</v>
      </c>
      <c r="D551" t="s">
        <v>40</v>
      </c>
      <c r="E551">
        <v>5</v>
      </c>
      <c r="F551">
        <v>46109</v>
      </c>
      <c r="G551" t="s">
        <v>180</v>
      </c>
      <c r="H551" t="s">
        <v>177</v>
      </c>
      <c r="I551">
        <v>4</v>
      </c>
      <c r="J551">
        <v>0</v>
      </c>
      <c r="K551" t="s">
        <v>171</v>
      </c>
      <c r="L551">
        <v>1</v>
      </c>
      <c r="M551" t="s">
        <v>172</v>
      </c>
      <c r="N551">
        <v>1097</v>
      </c>
    </row>
    <row r="552" spans="1:14">
      <c r="A552">
        <v>56</v>
      </c>
      <c r="B552">
        <v>46198</v>
      </c>
      <c r="C552" t="s">
        <v>19</v>
      </c>
      <c r="D552" t="s">
        <v>41</v>
      </c>
      <c r="E552">
        <v>1</v>
      </c>
      <c r="F552">
        <v>46193</v>
      </c>
      <c r="G552" t="s">
        <v>41</v>
      </c>
      <c r="H552" t="s">
        <v>43</v>
      </c>
      <c r="I552">
        <v>0</v>
      </c>
      <c r="J552">
        <v>0</v>
      </c>
      <c r="K552" t="s">
        <v>27</v>
      </c>
      <c r="L552">
        <v>0</v>
      </c>
      <c r="M552" t="s">
        <v>242</v>
      </c>
      <c r="N552">
        <v>1368</v>
      </c>
    </row>
    <row r="553" spans="1:14">
      <c r="A553">
        <v>56</v>
      </c>
      <c r="B553">
        <v>46198</v>
      </c>
      <c r="C553" t="s">
        <v>19</v>
      </c>
      <c r="D553" t="s">
        <v>41</v>
      </c>
      <c r="E553">
        <v>2</v>
      </c>
      <c r="F553">
        <v>46187</v>
      </c>
      <c r="G553" t="s">
        <v>41</v>
      </c>
      <c r="H553" t="s">
        <v>180</v>
      </c>
      <c r="I553">
        <v>0</v>
      </c>
      <c r="J553">
        <v>1</v>
      </c>
      <c r="K553" t="s">
        <v>69</v>
      </c>
      <c r="L553">
        <v>0</v>
      </c>
      <c r="M553" t="s">
        <v>242</v>
      </c>
      <c r="N553">
        <v>1344</v>
      </c>
    </row>
    <row r="554" spans="1:14">
      <c r="A554">
        <v>56</v>
      </c>
      <c r="B554">
        <v>46198</v>
      </c>
      <c r="C554" t="s">
        <v>19</v>
      </c>
      <c r="D554" t="s">
        <v>41</v>
      </c>
      <c r="E554">
        <v>3</v>
      </c>
      <c r="F554">
        <v>46180</v>
      </c>
      <c r="G554" t="s">
        <v>41</v>
      </c>
      <c r="H554" t="s">
        <v>182</v>
      </c>
      <c r="I554">
        <v>3</v>
      </c>
      <c r="J554">
        <v>0</v>
      </c>
      <c r="K554" t="s">
        <v>171</v>
      </c>
      <c r="L554">
        <v>1</v>
      </c>
      <c r="M554" t="s">
        <v>172</v>
      </c>
      <c r="N554">
        <v>1298</v>
      </c>
    </row>
    <row r="555" spans="1:14">
      <c r="A555">
        <v>56</v>
      </c>
      <c r="B555">
        <v>46198</v>
      </c>
      <c r="C555" t="s">
        <v>19</v>
      </c>
      <c r="D555" t="s">
        <v>41</v>
      </c>
      <c r="E555">
        <v>4</v>
      </c>
      <c r="F555">
        <v>46172</v>
      </c>
      <c r="G555" t="s">
        <v>41</v>
      </c>
      <c r="H555" t="s">
        <v>50</v>
      </c>
      <c r="I555">
        <v>2</v>
      </c>
      <c r="J555">
        <v>1</v>
      </c>
      <c r="K555" t="s">
        <v>171</v>
      </c>
      <c r="L555">
        <v>1</v>
      </c>
      <c r="M555" t="s">
        <v>172</v>
      </c>
      <c r="N555">
        <v>1192</v>
      </c>
    </row>
    <row r="556" spans="1:14">
      <c r="A556">
        <v>56</v>
      </c>
      <c r="B556">
        <v>46198</v>
      </c>
      <c r="C556" t="s">
        <v>19</v>
      </c>
      <c r="D556" t="s">
        <v>41</v>
      </c>
      <c r="E556">
        <v>5</v>
      </c>
      <c r="F556">
        <v>46112</v>
      </c>
      <c r="G556" t="s">
        <v>41</v>
      </c>
      <c r="H556" t="s">
        <v>45</v>
      </c>
      <c r="I556">
        <v>1</v>
      </c>
      <c r="J556">
        <v>1</v>
      </c>
      <c r="K556" t="s">
        <v>27</v>
      </c>
      <c r="L556">
        <v>0</v>
      </c>
      <c r="M556" t="s">
        <v>172</v>
      </c>
      <c r="N556">
        <v>1153</v>
      </c>
    </row>
    <row r="557" spans="1:14">
      <c r="A557">
        <v>56</v>
      </c>
      <c r="B557">
        <v>46198</v>
      </c>
      <c r="C557" t="s">
        <v>24</v>
      </c>
      <c r="D557" t="s">
        <v>42</v>
      </c>
      <c r="E557">
        <v>1</v>
      </c>
      <c r="F557">
        <v>46193</v>
      </c>
      <c r="G557" t="s">
        <v>42</v>
      </c>
      <c r="H557" t="s">
        <v>180</v>
      </c>
      <c r="I557">
        <v>2</v>
      </c>
      <c r="J557">
        <v>1</v>
      </c>
      <c r="K557" t="s">
        <v>171</v>
      </c>
      <c r="L557">
        <v>1</v>
      </c>
      <c r="M557" t="s">
        <v>242</v>
      </c>
      <c r="N557">
        <v>1367</v>
      </c>
    </row>
    <row r="558" spans="1:14">
      <c r="A558">
        <v>56</v>
      </c>
      <c r="B558">
        <v>46198</v>
      </c>
      <c r="C558" t="s">
        <v>24</v>
      </c>
      <c r="D558" t="s">
        <v>42</v>
      </c>
      <c r="E558">
        <v>2</v>
      </c>
      <c r="F558">
        <v>46187</v>
      </c>
      <c r="G558" t="s">
        <v>42</v>
      </c>
      <c r="H558" t="s">
        <v>43</v>
      </c>
      <c r="I558">
        <v>7</v>
      </c>
      <c r="J558">
        <v>1</v>
      </c>
      <c r="K558" t="s">
        <v>171</v>
      </c>
      <c r="L558">
        <v>1</v>
      </c>
      <c r="M558" t="s">
        <v>242</v>
      </c>
      <c r="N558">
        <v>1343</v>
      </c>
    </row>
    <row r="559" spans="1:14">
      <c r="A559">
        <v>56</v>
      </c>
      <c r="B559">
        <v>46198</v>
      </c>
      <c r="C559" t="s">
        <v>24</v>
      </c>
      <c r="D559" t="s">
        <v>42</v>
      </c>
      <c r="E559">
        <v>3</v>
      </c>
      <c r="F559">
        <v>46179</v>
      </c>
      <c r="G559" t="s">
        <v>42</v>
      </c>
      <c r="H559" t="s">
        <v>193</v>
      </c>
      <c r="I559">
        <v>2</v>
      </c>
      <c r="J559">
        <v>1</v>
      </c>
      <c r="K559" t="s">
        <v>171</v>
      </c>
      <c r="L559">
        <v>1</v>
      </c>
      <c r="M559" t="s">
        <v>172</v>
      </c>
      <c r="N559">
        <v>1289</v>
      </c>
    </row>
    <row r="560" spans="1:14">
      <c r="A560">
        <v>56</v>
      </c>
      <c r="B560">
        <v>46198</v>
      </c>
      <c r="C560" t="s">
        <v>24</v>
      </c>
      <c r="D560" t="s">
        <v>42</v>
      </c>
      <c r="E560">
        <v>4</v>
      </c>
      <c r="F560">
        <v>46173</v>
      </c>
      <c r="G560" t="s">
        <v>42</v>
      </c>
      <c r="H560" t="s">
        <v>206</v>
      </c>
      <c r="I560">
        <v>4</v>
      </c>
      <c r="J560">
        <v>0</v>
      </c>
      <c r="K560" t="s">
        <v>171</v>
      </c>
      <c r="L560">
        <v>1</v>
      </c>
      <c r="M560" t="s">
        <v>172</v>
      </c>
      <c r="N560">
        <v>1201</v>
      </c>
    </row>
    <row r="561" spans="1:14">
      <c r="A561">
        <v>56</v>
      </c>
      <c r="B561">
        <v>46198</v>
      </c>
      <c r="C561" t="s">
        <v>24</v>
      </c>
      <c r="D561" t="s">
        <v>42</v>
      </c>
      <c r="E561">
        <v>5</v>
      </c>
      <c r="F561">
        <v>46111</v>
      </c>
      <c r="G561" t="s">
        <v>42</v>
      </c>
      <c r="H561" t="s">
        <v>70</v>
      </c>
      <c r="I561">
        <v>2</v>
      </c>
      <c r="J561">
        <v>1</v>
      </c>
      <c r="K561" t="s">
        <v>171</v>
      </c>
      <c r="L561">
        <v>1</v>
      </c>
      <c r="M561" t="s">
        <v>172</v>
      </c>
      <c r="N561">
        <v>1122</v>
      </c>
    </row>
    <row r="562" spans="1:14">
      <c r="A562">
        <v>57</v>
      </c>
      <c r="B562">
        <v>46198</v>
      </c>
      <c r="C562" t="s">
        <v>19</v>
      </c>
      <c r="D562" t="s">
        <v>46</v>
      </c>
      <c r="E562">
        <v>1</v>
      </c>
      <c r="F562">
        <v>46193</v>
      </c>
      <c r="G562" t="s">
        <v>46</v>
      </c>
      <c r="H562" t="s">
        <v>48</v>
      </c>
      <c r="I562">
        <v>4</v>
      </c>
      <c r="J562">
        <v>0</v>
      </c>
      <c r="K562" t="s">
        <v>171</v>
      </c>
      <c r="L562">
        <v>1</v>
      </c>
      <c r="M562" t="s">
        <v>242</v>
      </c>
      <c r="N562">
        <v>1370</v>
      </c>
    </row>
    <row r="563" spans="1:14">
      <c r="A563">
        <v>57</v>
      </c>
      <c r="B563">
        <v>46198</v>
      </c>
      <c r="C563" t="s">
        <v>19</v>
      </c>
      <c r="D563" t="s">
        <v>46</v>
      </c>
      <c r="E563">
        <v>2</v>
      </c>
      <c r="F563">
        <v>46187</v>
      </c>
      <c r="G563" t="s">
        <v>46</v>
      </c>
      <c r="H563" t="s">
        <v>45</v>
      </c>
      <c r="I563">
        <v>2</v>
      </c>
      <c r="J563">
        <v>2</v>
      </c>
      <c r="K563" t="s">
        <v>27</v>
      </c>
      <c r="L563">
        <v>0</v>
      </c>
      <c r="M563" t="s">
        <v>242</v>
      </c>
      <c r="N563">
        <v>1345</v>
      </c>
    </row>
    <row r="564" spans="1:14">
      <c r="A564">
        <v>57</v>
      </c>
      <c r="B564">
        <v>46198</v>
      </c>
      <c r="C564" t="s">
        <v>19</v>
      </c>
      <c r="D564" t="s">
        <v>46</v>
      </c>
      <c r="E564">
        <v>3</v>
      </c>
      <c r="F564">
        <v>46173</v>
      </c>
      <c r="G564" t="s">
        <v>46</v>
      </c>
      <c r="H564" t="s">
        <v>188</v>
      </c>
      <c r="I564">
        <v>1</v>
      </c>
      <c r="J564">
        <v>0</v>
      </c>
      <c r="K564" t="s">
        <v>171</v>
      </c>
      <c r="L564">
        <v>1</v>
      </c>
      <c r="M564" t="s">
        <v>172</v>
      </c>
      <c r="N564">
        <v>1206</v>
      </c>
    </row>
    <row r="565" spans="1:14">
      <c r="A565">
        <v>57</v>
      </c>
      <c r="B565">
        <v>46198</v>
      </c>
      <c r="C565" t="s">
        <v>19</v>
      </c>
      <c r="D565" t="s">
        <v>46</v>
      </c>
      <c r="E565">
        <v>4</v>
      </c>
      <c r="F565">
        <v>46112</v>
      </c>
      <c r="G565" t="s">
        <v>46</v>
      </c>
      <c r="H565" t="s">
        <v>72</v>
      </c>
      <c r="I565">
        <v>1</v>
      </c>
      <c r="J565">
        <v>0</v>
      </c>
      <c r="K565" t="s">
        <v>171</v>
      </c>
      <c r="L565">
        <v>1</v>
      </c>
      <c r="M565" t="s">
        <v>172</v>
      </c>
      <c r="N565">
        <v>1142</v>
      </c>
    </row>
    <row r="566" spans="1:14">
      <c r="A566">
        <v>57</v>
      </c>
      <c r="B566">
        <v>46198</v>
      </c>
      <c r="C566" t="s">
        <v>19</v>
      </c>
      <c r="D566" t="s">
        <v>46</v>
      </c>
      <c r="E566">
        <v>5</v>
      </c>
      <c r="F566">
        <v>46109</v>
      </c>
      <c r="G566" t="s">
        <v>46</v>
      </c>
      <c r="H566" t="s">
        <v>32</v>
      </c>
      <c r="I566">
        <v>1</v>
      </c>
      <c r="J566">
        <v>0</v>
      </c>
      <c r="K566" t="s">
        <v>171</v>
      </c>
      <c r="L566">
        <v>1</v>
      </c>
      <c r="M566" t="s">
        <v>172</v>
      </c>
      <c r="N566">
        <v>1100</v>
      </c>
    </row>
    <row r="567" spans="1:14">
      <c r="A567">
        <v>57</v>
      </c>
      <c r="B567">
        <v>46198</v>
      </c>
      <c r="C567" t="s">
        <v>24</v>
      </c>
      <c r="D567" t="s">
        <v>47</v>
      </c>
      <c r="E567">
        <v>1</v>
      </c>
      <c r="F567">
        <v>46193</v>
      </c>
      <c r="G567" t="s">
        <v>47</v>
      </c>
      <c r="H567" t="s">
        <v>45</v>
      </c>
      <c r="I567">
        <v>1</v>
      </c>
      <c r="J567">
        <v>5</v>
      </c>
      <c r="K567" t="s">
        <v>69</v>
      </c>
      <c r="L567">
        <v>0</v>
      </c>
      <c r="M567" t="s">
        <v>242</v>
      </c>
      <c r="N567">
        <v>1369</v>
      </c>
    </row>
    <row r="568" spans="1:14">
      <c r="A568">
        <v>57</v>
      </c>
      <c r="B568">
        <v>46198</v>
      </c>
      <c r="C568" t="s">
        <v>24</v>
      </c>
      <c r="D568" t="s">
        <v>47</v>
      </c>
      <c r="E568">
        <v>2</v>
      </c>
      <c r="F568">
        <v>46187</v>
      </c>
      <c r="G568" t="s">
        <v>47</v>
      </c>
      <c r="H568" t="s">
        <v>48</v>
      </c>
      <c r="I568">
        <v>5</v>
      </c>
      <c r="J568">
        <v>1</v>
      </c>
      <c r="K568" t="s">
        <v>171</v>
      </c>
      <c r="L568">
        <v>1</v>
      </c>
      <c r="M568" t="s">
        <v>242</v>
      </c>
      <c r="N568">
        <v>1346</v>
      </c>
    </row>
    <row r="569" spans="1:14">
      <c r="A569">
        <v>57</v>
      </c>
      <c r="B569">
        <v>46198</v>
      </c>
      <c r="C569" t="s">
        <v>24</v>
      </c>
      <c r="D569" t="s">
        <v>47</v>
      </c>
      <c r="E569">
        <v>3</v>
      </c>
      <c r="F569">
        <v>46177</v>
      </c>
      <c r="G569" t="s">
        <v>47</v>
      </c>
      <c r="H569" t="s">
        <v>194</v>
      </c>
      <c r="I569">
        <v>2</v>
      </c>
      <c r="J569">
        <v>2</v>
      </c>
      <c r="K569" t="s">
        <v>27</v>
      </c>
      <c r="L569">
        <v>0</v>
      </c>
      <c r="M569" t="s">
        <v>172</v>
      </c>
      <c r="N569">
        <v>1246</v>
      </c>
    </row>
    <row r="570" spans="1:14">
      <c r="A570">
        <v>57</v>
      </c>
      <c r="B570">
        <v>46198</v>
      </c>
      <c r="C570" t="s">
        <v>24</v>
      </c>
      <c r="D570" t="s">
        <v>47</v>
      </c>
      <c r="E570">
        <v>4</v>
      </c>
      <c r="F570">
        <v>46174</v>
      </c>
      <c r="G570" t="s">
        <v>47</v>
      </c>
      <c r="H570" t="s">
        <v>63</v>
      </c>
      <c r="I570">
        <v>1</v>
      </c>
      <c r="J570">
        <v>3</v>
      </c>
      <c r="K570" t="s">
        <v>69</v>
      </c>
      <c r="L570">
        <v>0</v>
      </c>
      <c r="M570" t="s">
        <v>172</v>
      </c>
      <c r="N570">
        <v>1211</v>
      </c>
    </row>
    <row r="571" spans="1:14">
      <c r="A571">
        <v>57</v>
      </c>
      <c r="B571">
        <v>46198</v>
      </c>
      <c r="C571" t="s">
        <v>24</v>
      </c>
      <c r="D571" t="s">
        <v>47</v>
      </c>
      <c r="E571">
        <v>5</v>
      </c>
      <c r="F571">
        <v>46112</v>
      </c>
      <c r="G571" t="s">
        <v>47</v>
      </c>
      <c r="H571" t="s">
        <v>212</v>
      </c>
      <c r="I571">
        <v>3</v>
      </c>
      <c r="J571">
        <v>2</v>
      </c>
      <c r="K571" t="s">
        <v>171</v>
      </c>
      <c r="L571">
        <v>1</v>
      </c>
      <c r="M571" t="s">
        <v>185</v>
      </c>
      <c r="N571">
        <v>1171</v>
      </c>
    </row>
    <row r="572" spans="1:14">
      <c r="A572">
        <v>58</v>
      </c>
      <c r="B572">
        <v>46198</v>
      </c>
      <c r="C572" t="s">
        <v>19</v>
      </c>
      <c r="D572" t="s">
        <v>48</v>
      </c>
      <c r="E572">
        <v>1</v>
      </c>
      <c r="F572">
        <v>46193</v>
      </c>
      <c r="G572" t="s">
        <v>48</v>
      </c>
      <c r="H572" t="s">
        <v>46</v>
      </c>
      <c r="I572">
        <v>0</v>
      </c>
      <c r="J572">
        <v>4</v>
      </c>
      <c r="K572" t="s">
        <v>69</v>
      </c>
      <c r="L572">
        <v>0</v>
      </c>
      <c r="M572" t="s">
        <v>242</v>
      </c>
      <c r="N572">
        <v>1370</v>
      </c>
    </row>
    <row r="573" spans="1:14">
      <c r="A573">
        <v>58</v>
      </c>
      <c r="B573">
        <v>46198</v>
      </c>
      <c r="C573" t="s">
        <v>19</v>
      </c>
      <c r="D573" t="s">
        <v>48</v>
      </c>
      <c r="E573">
        <v>2</v>
      </c>
      <c r="F573">
        <v>46187</v>
      </c>
      <c r="G573" t="s">
        <v>48</v>
      </c>
      <c r="H573" t="s">
        <v>47</v>
      </c>
      <c r="I573">
        <v>1</v>
      </c>
      <c r="J573">
        <v>5</v>
      </c>
      <c r="K573" t="s">
        <v>69</v>
      </c>
      <c r="L573">
        <v>0</v>
      </c>
      <c r="M573" t="s">
        <v>242</v>
      </c>
      <c r="N573">
        <v>1346</v>
      </c>
    </row>
    <row r="574" spans="1:14">
      <c r="A574">
        <v>58</v>
      </c>
      <c r="B574">
        <v>46198</v>
      </c>
      <c r="C574" t="s">
        <v>19</v>
      </c>
      <c r="D574" t="s">
        <v>48</v>
      </c>
      <c r="E574">
        <v>3</v>
      </c>
      <c r="F574">
        <v>46179</v>
      </c>
      <c r="G574" t="s">
        <v>48</v>
      </c>
      <c r="H574" t="s">
        <v>57</v>
      </c>
      <c r="I574">
        <v>0</v>
      </c>
      <c r="J574">
        <v>5</v>
      </c>
      <c r="K574" t="s">
        <v>69</v>
      </c>
      <c r="L574">
        <v>0</v>
      </c>
      <c r="M574" t="s">
        <v>172</v>
      </c>
      <c r="N574">
        <v>1275</v>
      </c>
    </row>
    <row r="575" spans="1:14">
      <c r="A575">
        <v>58</v>
      </c>
      <c r="B575">
        <v>46198</v>
      </c>
      <c r="C575" t="s">
        <v>19</v>
      </c>
      <c r="D575" t="s">
        <v>48</v>
      </c>
      <c r="E575">
        <v>4</v>
      </c>
      <c r="F575">
        <v>46174</v>
      </c>
      <c r="G575" t="s">
        <v>48</v>
      </c>
      <c r="H575" t="s">
        <v>67</v>
      </c>
      <c r="I575">
        <v>0</v>
      </c>
      <c r="J575">
        <v>1</v>
      </c>
      <c r="K575" t="s">
        <v>69</v>
      </c>
      <c r="L575">
        <v>0</v>
      </c>
      <c r="M575" t="s">
        <v>172</v>
      </c>
      <c r="N575">
        <v>1207</v>
      </c>
    </row>
    <row r="576" spans="1:14">
      <c r="A576">
        <v>58</v>
      </c>
      <c r="B576">
        <v>46198</v>
      </c>
      <c r="C576" t="s">
        <v>19</v>
      </c>
      <c r="D576" t="s">
        <v>48</v>
      </c>
      <c r="E576">
        <v>5</v>
      </c>
      <c r="F576">
        <v>46112</v>
      </c>
      <c r="G576" t="s">
        <v>48</v>
      </c>
      <c r="H576" t="s">
        <v>25</v>
      </c>
      <c r="I576">
        <v>0</v>
      </c>
      <c r="J576">
        <v>0</v>
      </c>
      <c r="K576" t="s">
        <v>27</v>
      </c>
      <c r="L576">
        <v>0</v>
      </c>
      <c r="M576" t="s">
        <v>172</v>
      </c>
      <c r="N576">
        <v>1140</v>
      </c>
    </row>
    <row r="577" spans="1:14">
      <c r="A577">
        <v>58</v>
      </c>
      <c r="B577">
        <v>46198</v>
      </c>
      <c r="C577" t="s">
        <v>24</v>
      </c>
      <c r="D577" t="s">
        <v>45</v>
      </c>
      <c r="E577">
        <v>1</v>
      </c>
      <c r="F577">
        <v>46193</v>
      </c>
      <c r="G577" t="s">
        <v>45</v>
      </c>
      <c r="H577" t="s">
        <v>47</v>
      </c>
      <c r="I577">
        <v>5</v>
      </c>
      <c r="J577">
        <v>1</v>
      </c>
      <c r="K577" t="s">
        <v>171</v>
      </c>
      <c r="L577">
        <v>1</v>
      </c>
      <c r="M577" t="s">
        <v>242</v>
      </c>
      <c r="N577">
        <v>1369</v>
      </c>
    </row>
    <row r="578" spans="1:14">
      <c r="A578">
        <v>58</v>
      </c>
      <c r="B578">
        <v>46198</v>
      </c>
      <c r="C578" t="s">
        <v>24</v>
      </c>
      <c r="D578" t="s">
        <v>45</v>
      </c>
      <c r="E578">
        <v>2</v>
      </c>
      <c r="F578">
        <v>46187</v>
      </c>
      <c r="G578" t="s">
        <v>45</v>
      </c>
      <c r="H578" t="s">
        <v>46</v>
      </c>
      <c r="I578">
        <v>2</v>
      </c>
      <c r="J578">
        <v>2</v>
      </c>
      <c r="K578" t="s">
        <v>27</v>
      </c>
      <c r="L578">
        <v>0</v>
      </c>
      <c r="M578" t="s">
        <v>242</v>
      </c>
      <c r="N578">
        <v>1345</v>
      </c>
    </row>
    <row r="579" spans="1:14">
      <c r="A579">
        <v>58</v>
      </c>
      <c r="B579">
        <v>46198</v>
      </c>
      <c r="C579" t="s">
        <v>24</v>
      </c>
      <c r="D579" t="s">
        <v>45</v>
      </c>
      <c r="E579">
        <v>3</v>
      </c>
      <c r="F579">
        <v>46181</v>
      </c>
      <c r="G579" t="s">
        <v>45</v>
      </c>
      <c r="H579" t="s">
        <v>77</v>
      </c>
      <c r="I579">
        <v>2</v>
      </c>
      <c r="J579">
        <v>1</v>
      </c>
      <c r="K579" t="s">
        <v>171</v>
      </c>
      <c r="L579">
        <v>1</v>
      </c>
      <c r="M579" t="s">
        <v>172</v>
      </c>
      <c r="N579">
        <v>1306</v>
      </c>
    </row>
    <row r="580" spans="1:14">
      <c r="A580">
        <v>58</v>
      </c>
      <c r="B580">
        <v>46198</v>
      </c>
      <c r="C580" t="s">
        <v>24</v>
      </c>
      <c r="D580" t="s">
        <v>45</v>
      </c>
      <c r="E580">
        <v>4</v>
      </c>
      <c r="F580">
        <v>46176</v>
      </c>
      <c r="G580" t="s">
        <v>45</v>
      </c>
      <c r="H580" t="s">
        <v>66</v>
      </c>
      <c r="I580">
        <v>0</v>
      </c>
      <c r="J580">
        <v>1</v>
      </c>
      <c r="K580" t="s">
        <v>69</v>
      </c>
      <c r="L580">
        <v>0</v>
      </c>
      <c r="M580" t="s">
        <v>172</v>
      </c>
      <c r="N580">
        <v>1229</v>
      </c>
    </row>
    <row r="581" spans="1:14">
      <c r="A581">
        <v>58</v>
      </c>
      <c r="B581">
        <v>46198</v>
      </c>
      <c r="C581" t="s">
        <v>24</v>
      </c>
      <c r="D581" t="s">
        <v>45</v>
      </c>
      <c r="E581">
        <v>5</v>
      </c>
      <c r="F581">
        <v>46112</v>
      </c>
      <c r="G581" t="s">
        <v>45</v>
      </c>
      <c r="H581" t="s">
        <v>41</v>
      </c>
      <c r="I581">
        <v>1</v>
      </c>
      <c r="J581">
        <v>1</v>
      </c>
      <c r="K581" t="s">
        <v>27</v>
      </c>
      <c r="L581">
        <v>0</v>
      </c>
      <c r="M581" t="s">
        <v>172</v>
      </c>
      <c r="N581">
        <v>1153</v>
      </c>
    </row>
    <row r="582" spans="1:14">
      <c r="A582">
        <v>59</v>
      </c>
      <c r="B582">
        <v>46198</v>
      </c>
      <c r="C582" t="s">
        <v>19</v>
      </c>
      <c r="D582" t="s">
        <v>34</v>
      </c>
      <c r="E582">
        <v>1</v>
      </c>
      <c r="F582">
        <v>46192</v>
      </c>
      <c r="G582" t="s">
        <v>198</v>
      </c>
      <c r="H582" t="s">
        <v>29</v>
      </c>
      <c r="I582">
        <v>0</v>
      </c>
      <c r="J582">
        <v>1</v>
      </c>
      <c r="K582" t="s">
        <v>69</v>
      </c>
      <c r="L582">
        <v>0</v>
      </c>
      <c r="M582" t="s">
        <v>242</v>
      </c>
      <c r="N582">
        <v>1366</v>
      </c>
    </row>
    <row r="583" spans="1:14">
      <c r="A583">
        <v>59</v>
      </c>
      <c r="B583">
        <v>46198</v>
      </c>
      <c r="C583" t="s">
        <v>19</v>
      </c>
      <c r="D583" t="s">
        <v>34</v>
      </c>
      <c r="E583">
        <v>2</v>
      </c>
      <c r="F583">
        <v>46186</v>
      </c>
      <c r="G583" t="s">
        <v>198</v>
      </c>
      <c r="H583" t="s">
        <v>33</v>
      </c>
      <c r="I583">
        <v>0</v>
      </c>
      <c r="J583">
        <v>2</v>
      </c>
      <c r="K583" t="s">
        <v>69</v>
      </c>
      <c r="L583">
        <v>0</v>
      </c>
      <c r="M583" t="s">
        <v>242</v>
      </c>
      <c r="N583">
        <v>1342</v>
      </c>
    </row>
    <row r="584" spans="1:14">
      <c r="A584">
        <v>59</v>
      </c>
      <c r="B584">
        <v>46198</v>
      </c>
      <c r="C584" t="s">
        <v>19</v>
      </c>
      <c r="D584" t="s">
        <v>34</v>
      </c>
      <c r="E584">
        <v>3</v>
      </c>
      <c r="F584">
        <v>46179</v>
      </c>
      <c r="G584" t="s">
        <v>198</v>
      </c>
      <c r="H584" t="s">
        <v>189</v>
      </c>
      <c r="I584">
        <v>2</v>
      </c>
      <c r="J584">
        <v>1</v>
      </c>
      <c r="K584" t="s">
        <v>171</v>
      </c>
      <c r="L584">
        <v>1</v>
      </c>
      <c r="M584" t="s">
        <v>172</v>
      </c>
      <c r="N584">
        <v>1292</v>
      </c>
    </row>
    <row r="585" spans="1:14">
      <c r="A585">
        <v>59</v>
      </c>
      <c r="B585">
        <v>46198</v>
      </c>
      <c r="C585" t="s">
        <v>19</v>
      </c>
      <c r="D585" t="s">
        <v>34</v>
      </c>
      <c r="E585">
        <v>4</v>
      </c>
      <c r="F585">
        <v>46174</v>
      </c>
      <c r="G585" t="s">
        <v>198</v>
      </c>
      <c r="H585" t="s">
        <v>190</v>
      </c>
      <c r="I585">
        <v>4</v>
      </c>
      <c r="J585">
        <v>0</v>
      </c>
      <c r="K585" t="s">
        <v>171</v>
      </c>
      <c r="L585">
        <v>1</v>
      </c>
      <c r="M585" t="s">
        <v>172</v>
      </c>
      <c r="N585">
        <v>1213</v>
      </c>
    </row>
    <row r="586" spans="1:14">
      <c r="A586">
        <v>59</v>
      </c>
      <c r="B586">
        <v>46198</v>
      </c>
      <c r="C586" t="s">
        <v>19</v>
      </c>
      <c r="D586" t="s">
        <v>34</v>
      </c>
      <c r="E586">
        <v>5</v>
      </c>
      <c r="F586">
        <v>46112</v>
      </c>
      <c r="G586" t="s">
        <v>198</v>
      </c>
      <c r="H586" t="s">
        <v>183</v>
      </c>
      <c r="I586">
        <v>1</v>
      </c>
      <c r="J586">
        <v>0</v>
      </c>
      <c r="K586" t="s">
        <v>171</v>
      </c>
      <c r="L586">
        <v>1</v>
      </c>
      <c r="M586" t="s">
        <v>185</v>
      </c>
      <c r="N586">
        <v>1172</v>
      </c>
    </row>
    <row r="587" spans="1:14">
      <c r="A587">
        <v>59</v>
      </c>
      <c r="B587">
        <v>46198</v>
      </c>
      <c r="C587" t="s">
        <v>24</v>
      </c>
      <c r="D587" t="s">
        <v>28</v>
      </c>
      <c r="E587">
        <v>1</v>
      </c>
      <c r="F587">
        <v>46192</v>
      </c>
      <c r="G587" t="s">
        <v>193</v>
      </c>
      <c r="H587" t="s">
        <v>33</v>
      </c>
      <c r="I587">
        <v>2</v>
      </c>
      <c r="J587">
        <v>0</v>
      </c>
      <c r="K587" t="s">
        <v>171</v>
      </c>
      <c r="L587">
        <v>1</v>
      </c>
      <c r="M587" t="s">
        <v>242</v>
      </c>
      <c r="N587">
        <v>1365</v>
      </c>
    </row>
    <row r="588" spans="1:14">
      <c r="A588">
        <v>59</v>
      </c>
      <c r="B588">
        <v>46198</v>
      </c>
      <c r="C588" t="s">
        <v>24</v>
      </c>
      <c r="D588" t="s">
        <v>28</v>
      </c>
      <c r="E588">
        <v>2</v>
      </c>
      <c r="F588">
        <v>46185</v>
      </c>
      <c r="G588" t="s">
        <v>193</v>
      </c>
      <c r="H588" t="s">
        <v>29</v>
      </c>
      <c r="I588">
        <v>4</v>
      </c>
      <c r="J588">
        <v>1</v>
      </c>
      <c r="K588" t="s">
        <v>171</v>
      </c>
      <c r="L588">
        <v>1</v>
      </c>
      <c r="M588" t="s">
        <v>242</v>
      </c>
      <c r="N588">
        <v>1338</v>
      </c>
    </row>
    <row r="589" spans="1:14">
      <c r="A589">
        <v>59</v>
      </c>
      <c r="B589">
        <v>46198</v>
      </c>
      <c r="C589" t="s">
        <v>24</v>
      </c>
      <c r="D589" t="s">
        <v>28</v>
      </c>
      <c r="E589">
        <v>3</v>
      </c>
      <c r="F589">
        <v>46179</v>
      </c>
      <c r="G589" t="s">
        <v>193</v>
      </c>
      <c r="H589" t="s">
        <v>42</v>
      </c>
      <c r="I589">
        <v>1</v>
      </c>
      <c r="J589">
        <v>2</v>
      </c>
      <c r="K589" t="s">
        <v>69</v>
      </c>
      <c r="L589">
        <v>0</v>
      </c>
      <c r="M589" t="s">
        <v>172</v>
      </c>
      <c r="N589">
        <v>1289</v>
      </c>
    </row>
    <row r="590" spans="1:14">
      <c r="A590">
        <v>59</v>
      </c>
      <c r="B590">
        <v>46198</v>
      </c>
      <c r="C590" t="s">
        <v>24</v>
      </c>
      <c r="D590" t="s">
        <v>28</v>
      </c>
      <c r="E590">
        <v>4</v>
      </c>
      <c r="F590">
        <v>46173</v>
      </c>
      <c r="G590" t="s">
        <v>193</v>
      </c>
      <c r="H590" t="s">
        <v>61</v>
      </c>
      <c r="I590">
        <v>3</v>
      </c>
      <c r="J590">
        <v>2</v>
      </c>
      <c r="K590" t="s">
        <v>171</v>
      </c>
      <c r="L590">
        <v>1</v>
      </c>
      <c r="M590" t="s">
        <v>172</v>
      </c>
      <c r="N590">
        <v>1205</v>
      </c>
    </row>
    <row r="591" spans="1:14">
      <c r="A591">
        <v>59</v>
      </c>
      <c r="B591">
        <v>46198</v>
      </c>
      <c r="C591" t="s">
        <v>24</v>
      </c>
      <c r="D591" t="s">
        <v>28</v>
      </c>
      <c r="E591">
        <v>5</v>
      </c>
      <c r="F591">
        <v>46112</v>
      </c>
      <c r="G591" t="s">
        <v>193</v>
      </c>
      <c r="H591" t="s">
        <v>75</v>
      </c>
      <c r="I591">
        <v>0</v>
      </c>
      <c r="J591">
        <v>2</v>
      </c>
      <c r="K591" t="s">
        <v>69</v>
      </c>
      <c r="L591">
        <v>0</v>
      </c>
      <c r="M591" t="s">
        <v>172</v>
      </c>
      <c r="N591">
        <v>1166</v>
      </c>
    </row>
    <row r="592" spans="1:14">
      <c r="A592">
        <v>60</v>
      </c>
      <c r="B592">
        <v>46198</v>
      </c>
      <c r="C592" t="s">
        <v>19</v>
      </c>
      <c r="D592" t="s">
        <v>29</v>
      </c>
      <c r="E592">
        <v>1</v>
      </c>
      <c r="F592">
        <v>46192</v>
      </c>
      <c r="G592" t="s">
        <v>29</v>
      </c>
      <c r="H592" t="s">
        <v>198</v>
      </c>
      <c r="I592">
        <v>1</v>
      </c>
      <c r="J592">
        <v>0</v>
      </c>
      <c r="K592" t="s">
        <v>171</v>
      </c>
      <c r="L592">
        <v>1</v>
      </c>
      <c r="M592" t="s">
        <v>242</v>
      </c>
      <c r="N592">
        <v>1366</v>
      </c>
    </row>
    <row r="593" spans="1:14">
      <c r="A593">
        <v>60</v>
      </c>
      <c r="B593">
        <v>46198</v>
      </c>
      <c r="C593" t="s">
        <v>19</v>
      </c>
      <c r="D593" t="s">
        <v>29</v>
      </c>
      <c r="E593">
        <v>2</v>
      </c>
      <c r="F593">
        <v>46185</v>
      </c>
      <c r="G593" t="s">
        <v>29</v>
      </c>
      <c r="H593" t="s">
        <v>193</v>
      </c>
      <c r="I593">
        <v>1</v>
      </c>
      <c r="J593">
        <v>4</v>
      </c>
      <c r="K593" t="s">
        <v>69</v>
      </c>
      <c r="L593">
        <v>0</v>
      </c>
      <c r="M593" t="s">
        <v>242</v>
      </c>
      <c r="N593">
        <v>1338</v>
      </c>
    </row>
    <row r="594" spans="1:14">
      <c r="A594">
        <v>60</v>
      </c>
      <c r="B594">
        <v>46198</v>
      </c>
      <c r="C594" t="s">
        <v>19</v>
      </c>
      <c r="D594" t="s">
        <v>29</v>
      </c>
      <c r="E594">
        <v>3</v>
      </c>
      <c r="F594">
        <v>46178</v>
      </c>
      <c r="G594" t="s">
        <v>29</v>
      </c>
      <c r="H594" t="s">
        <v>174</v>
      </c>
      <c r="I594">
        <v>4</v>
      </c>
      <c r="J594">
        <v>0</v>
      </c>
      <c r="K594" t="s">
        <v>171</v>
      </c>
      <c r="L594">
        <v>1</v>
      </c>
      <c r="M594" t="s">
        <v>172</v>
      </c>
      <c r="N594">
        <v>1257</v>
      </c>
    </row>
    <row r="595" spans="1:14">
      <c r="A595">
        <v>60</v>
      </c>
      <c r="B595">
        <v>46198</v>
      </c>
      <c r="C595" t="s">
        <v>19</v>
      </c>
      <c r="D595" t="s">
        <v>29</v>
      </c>
      <c r="E595">
        <v>4</v>
      </c>
      <c r="F595">
        <v>46112</v>
      </c>
      <c r="G595" t="s">
        <v>29</v>
      </c>
      <c r="H595" t="s">
        <v>36</v>
      </c>
      <c r="I595">
        <v>1</v>
      </c>
      <c r="J595">
        <v>2</v>
      </c>
      <c r="K595" t="s">
        <v>69</v>
      </c>
      <c r="L595">
        <v>0</v>
      </c>
      <c r="M595" t="s">
        <v>172</v>
      </c>
      <c r="N595">
        <v>1152</v>
      </c>
    </row>
    <row r="596" spans="1:14">
      <c r="A596">
        <v>60</v>
      </c>
      <c r="B596">
        <v>46198</v>
      </c>
      <c r="C596" t="s">
        <v>19</v>
      </c>
      <c r="D596" t="s">
        <v>29</v>
      </c>
      <c r="E596">
        <v>5</v>
      </c>
      <c r="F596">
        <v>46108</v>
      </c>
      <c r="G596" t="s">
        <v>29</v>
      </c>
      <c r="H596" t="s">
        <v>194</v>
      </c>
      <c r="I596">
        <v>1</v>
      </c>
      <c r="J596">
        <v>0</v>
      </c>
      <c r="K596" t="s">
        <v>171</v>
      </c>
      <c r="L596">
        <v>1</v>
      </c>
      <c r="M596" t="s">
        <v>172</v>
      </c>
      <c r="N596">
        <v>1063</v>
      </c>
    </row>
    <row r="597" spans="1:14">
      <c r="A597">
        <v>60</v>
      </c>
      <c r="B597">
        <v>46198</v>
      </c>
      <c r="C597" t="s">
        <v>24</v>
      </c>
      <c r="D597" t="s">
        <v>33</v>
      </c>
      <c r="E597">
        <v>1</v>
      </c>
      <c r="F597">
        <v>46192</v>
      </c>
      <c r="G597" t="s">
        <v>33</v>
      </c>
      <c r="H597" t="s">
        <v>193</v>
      </c>
      <c r="I597">
        <v>0</v>
      </c>
      <c r="J597">
        <v>2</v>
      </c>
      <c r="K597" t="s">
        <v>69</v>
      </c>
      <c r="L597">
        <v>0</v>
      </c>
      <c r="M597" t="s">
        <v>242</v>
      </c>
      <c r="N597">
        <v>1365</v>
      </c>
    </row>
    <row r="598" spans="1:14">
      <c r="A598">
        <v>60</v>
      </c>
      <c r="B598">
        <v>46198</v>
      </c>
      <c r="C598" t="s">
        <v>24</v>
      </c>
      <c r="D598" t="s">
        <v>33</v>
      </c>
      <c r="E598">
        <v>2</v>
      </c>
      <c r="F598">
        <v>46186</v>
      </c>
      <c r="G598" t="s">
        <v>33</v>
      </c>
      <c r="H598" t="s">
        <v>198</v>
      </c>
      <c r="I598">
        <v>2</v>
      </c>
      <c r="J598">
        <v>0</v>
      </c>
      <c r="K598" t="s">
        <v>171</v>
      </c>
      <c r="L598">
        <v>1</v>
      </c>
      <c r="M598" t="s">
        <v>242</v>
      </c>
      <c r="N598">
        <v>1342</v>
      </c>
    </row>
    <row r="599" spans="1:14">
      <c r="A599">
        <v>60</v>
      </c>
      <c r="B599">
        <v>46198</v>
      </c>
      <c r="C599" t="s">
        <v>24</v>
      </c>
      <c r="D599" t="s">
        <v>33</v>
      </c>
      <c r="E599">
        <v>3</v>
      </c>
      <c r="F599">
        <v>46179</v>
      </c>
      <c r="G599" t="s">
        <v>33</v>
      </c>
      <c r="H599" t="s">
        <v>38</v>
      </c>
      <c r="I599">
        <v>1</v>
      </c>
      <c r="J599">
        <v>1</v>
      </c>
      <c r="K599" t="s">
        <v>27</v>
      </c>
      <c r="L599">
        <v>0</v>
      </c>
      <c r="M599" t="s">
        <v>172</v>
      </c>
      <c r="N599">
        <v>1274</v>
      </c>
    </row>
    <row r="600" spans="1:14">
      <c r="A600">
        <v>60</v>
      </c>
      <c r="B600">
        <v>46198</v>
      </c>
      <c r="C600" t="s">
        <v>24</v>
      </c>
      <c r="D600" t="s">
        <v>33</v>
      </c>
      <c r="E600">
        <v>4</v>
      </c>
      <c r="F600">
        <v>46172</v>
      </c>
      <c r="G600" t="s">
        <v>33</v>
      </c>
      <c r="H600" t="s">
        <v>20</v>
      </c>
      <c r="I600">
        <v>0</v>
      </c>
      <c r="J600">
        <v>1</v>
      </c>
      <c r="K600" t="s">
        <v>69</v>
      </c>
      <c r="L600">
        <v>0</v>
      </c>
      <c r="M600" t="s">
        <v>172</v>
      </c>
      <c r="N600">
        <v>1194</v>
      </c>
    </row>
    <row r="601" spans="1:14">
      <c r="A601">
        <v>60</v>
      </c>
      <c r="B601">
        <v>46198</v>
      </c>
      <c r="C601" t="s">
        <v>24</v>
      </c>
      <c r="D601" t="s">
        <v>33</v>
      </c>
      <c r="E601">
        <v>5</v>
      </c>
      <c r="F601">
        <v>46112</v>
      </c>
      <c r="G601" t="s">
        <v>33</v>
      </c>
      <c r="H601" t="s">
        <v>43</v>
      </c>
      <c r="I601">
        <v>5</v>
      </c>
      <c r="J601">
        <v>1</v>
      </c>
      <c r="K601" t="s">
        <v>171</v>
      </c>
      <c r="L601">
        <v>1</v>
      </c>
      <c r="M601" t="s">
        <v>197</v>
      </c>
      <c r="N601">
        <v>1175</v>
      </c>
    </row>
    <row r="602" spans="1:14">
      <c r="A602">
        <v>61</v>
      </c>
      <c r="B602">
        <v>46199</v>
      </c>
      <c r="C602" t="s">
        <v>19</v>
      </c>
      <c r="D602" t="s">
        <v>63</v>
      </c>
      <c r="E602">
        <v>1</v>
      </c>
      <c r="F602">
        <v>46195</v>
      </c>
      <c r="G602" t="s">
        <v>63</v>
      </c>
      <c r="H602" t="s">
        <v>61</v>
      </c>
      <c r="I602">
        <v>3</v>
      </c>
      <c r="J602">
        <v>2</v>
      </c>
      <c r="K602" t="s">
        <v>171</v>
      </c>
      <c r="L602">
        <v>1</v>
      </c>
      <c r="M602" t="s">
        <v>242</v>
      </c>
      <c r="N602">
        <v>1376</v>
      </c>
    </row>
    <row r="603" spans="1:14">
      <c r="A603">
        <v>61</v>
      </c>
      <c r="B603">
        <v>46199</v>
      </c>
      <c r="C603" t="s">
        <v>19</v>
      </c>
      <c r="D603" t="s">
        <v>63</v>
      </c>
      <c r="E603">
        <v>2</v>
      </c>
      <c r="F603">
        <v>46189</v>
      </c>
      <c r="G603" t="s">
        <v>63</v>
      </c>
      <c r="H603" t="s">
        <v>62</v>
      </c>
      <c r="I603">
        <v>4</v>
      </c>
      <c r="J603">
        <v>1</v>
      </c>
      <c r="K603" t="s">
        <v>171</v>
      </c>
      <c r="L603">
        <v>1</v>
      </c>
      <c r="M603" t="s">
        <v>242</v>
      </c>
      <c r="N603">
        <v>1352</v>
      </c>
    </row>
    <row r="604" spans="1:14">
      <c r="A604">
        <v>61</v>
      </c>
      <c r="B604">
        <v>46199</v>
      </c>
      <c r="C604" t="s">
        <v>19</v>
      </c>
      <c r="D604" t="s">
        <v>63</v>
      </c>
      <c r="E604">
        <v>3</v>
      </c>
      <c r="F604">
        <v>46180</v>
      </c>
      <c r="G604" t="s">
        <v>63</v>
      </c>
      <c r="H604" t="s">
        <v>36</v>
      </c>
      <c r="I604">
        <v>1</v>
      </c>
      <c r="J604">
        <v>1</v>
      </c>
      <c r="K604" t="s">
        <v>27</v>
      </c>
      <c r="L604">
        <v>0</v>
      </c>
      <c r="M604" t="s">
        <v>172</v>
      </c>
      <c r="N604">
        <v>1303</v>
      </c>
    </row>
    <row r="605" spans="1:14">
      <c r="A605">
        <v>61</v>
      </c>
      <c r="B605">
        <v>46199</v>
      </c>
      <c r="C605" t="s">
        <v>19</v>
      </c>
      <c r="D605" t="s">
        <v>63</v>
      </c>
      <c r="E605">
        <v>4</v>
      </c>
      <c r="F605">
        <v>46174</v>
      </c>
      <c r="G605" t="s">
        <v>63</v>
      </c>
      <c r="H605" t="s">
        <v>47</v>
      </c>
      <c r="I605">
        <v>3</v>
      </c>
      <c r="J605">
        <v>1</v>
      </c>
      <c r="K605" t="s">
        <v>171</v>
      </c>
      <c r="L605">
        <v>1</v>
      </c>
      <c r="M605" t="s">
        <v>172</v>
      </c>
      <c r="N605">
        <v>1211</v>
      </c>
    </row>
    <row r="606" spans="1:14">
      <c r="A606">
        <v>61</v>
      </c>
      <c r="B606">
        <v>46199</v>
      </c>
      <c r="C606" t="s">
        <v>19</v>
      </c>
      <c r="D606" t="s">
        <v>63</v>
      </c>
      <c r="E606">
        <v>5</v>
      </c>
      <c r="F606">
        <v>46112</v>
      </c>
      <c r="G606" t="s">
        <v>63</v>
      </c>
      <c r="H606" t="s">
        <v>38</v>
      </c>
      <c r="I606">
        <v>0</v>
      </c>
      <c r="J606">
        <v>0</v>
      </c>
      <c r="K606" t="s">
        <v>27</v>
      </c>
      <c r="L606">
        <v>0</v>
      </c>
      <c r="M606" t="s">
        <v>172</v>
      </c>
      <c r="N606">
        <v>1155</v>
      </c>
    </row>
    <row r="607" spans="1:14">
      <c r="A607">
        <v>61</v>
      </c>
      <c r="B607">
        <v>46199</v>
      </c>
      <c r="C607" t="s">
        <v>24</v>
      </c>
      <c r="D607" t="s">
        <v>60</v>
      </c>
      <c r="E607">
        <v>1</v>
      </c>
      <c r="F607">
        <v>46195</v>
      </c>
      <c r="G607" t="s">
        <v>60</v>
      </c>
      <c r="H607" t="s">
        <v>62</v>
      </c>
      <c r="I607">
        <v>3</v>
      </c>
      <c r="J607">
        <v>0</v>
      </c>
      <c r="K607" t="s">
        <v>171</v>
      </c>
      <c r="L607">
        <v>1</v>
      </c>
      <c r="M607" t="s">
        <v>242</v>
      </c>
      <c r="N607">
        <v>1375</v>
      </c>
    </row>
    <row r="608" spans="1:14">
      <c r="A608">
        <v>61</v>
      </c>
      <c r="B608">
        <v>46199</v>
      </c>
      <c r="C608" t="s">
        <v>24</v>
      </c>
      <c r="D608" t="s">
        <v>60</v>
      </c>
      <c r="E608">
        <v>2</v>
      </c>
      <c r="F608">
        <v>46189</v>
      </c>
      <c r="G608" t="s">
        <v>60</v>
      </c>
      <c r="H608" t="s">
        <v>61</v>
      </c>
      <c r="I608">
        <v>3</v>
      </c>
      <c r="J608">
        <v>1</v>
      </c>
      <c r="K608" t="s">
        <v>171</v>
      </c>
      <c r="L608">
        <v>1</v>
      </c>
      <c r="M608" t="s">
        <v>242</v>
      </c>
      <c r="N608">
        <v>1351</v>
      </c>
    </row>
    <row r="609" spans="1:14">
      <c r="A609">
        <v>61</v>
      </c>
      <c r="B609">
        <v>46199</v>
      </c>
      <c r="C609" t="s">
        <v>24</v>
      </c>
      <c r="D609" t="s">
        <v>60</v>
      </c>
      <c r="E609">
        <v>3</v>
      </c>
      <c r="F609">
        <v>46181</v>
      </c>
      <c r="G609" t="s">
        <v>60</v>
      </c>
      <c r="H609" t="s">
        <v>228</v>
      </c>
      <c r="I609">
        <v>3</v>
      </c>
      <c r="J609">
        <v>1</v>
      </c>
      <c r="K609" t="s">
        <v>171</v>
      </c>
      <c r="L609">
        <v>1</v>
      </c>
      <c r="M609" t="s">
        <v>172</v>
      </c>
      <c r="N609">
        <v>1305</v>
      </c>
    </row>
    <row r="610" spans="1:14">
      <c r="A610">
        <v>61</v>
      </c>
      <c r="B610">
        <v>46199</v>
      </c>
      <c r="C610" t="s">
        <v>24</v>
      </c>
      <c r="D610" t="s">
        <v>60</v>
      </c>
      <c r="E610">
        <v>4</v>
      </c>
      <c r="F610">
        <v>46177</v>
      </c>
      <c r="G610" t="s">
        <v>60</v>
      </c>
      <c r="H610" t="s">
        <v>180</v>
      </c>
      <c r="I610">
        <v>1</v>
      </c>
      <c r="J610">
        <v>2</v>
      </c>
      <c r="K610" t="s">
        <v>69</v>
      </c>
      <c r="L610">
        <v>0</v>
      </c>
      <c r="M610" t="s">
        <v>172</v>
      </c>
      <c r="N610">
        <v>1238</v>
      </c>
    </row>
    <row r="611" spans="1:14">
      <c r="A611">
        <v>61</v>
      </c>
      <c r="B611">
        <v>46199</v>
      </c>
      <c r="C611" t="s">
        <v>24</v>
      </c>
      <c r="D611" t="s">
        <v>60</v>
      </c>
      <c r="E611">
        <v>5</v>
      </c>
      <c r="F611">
        <v>46110</v>
      </c>
      <c r="G611" t="s">
        <v>60</v>
      </c>
      <c r="H611" t="s">
        <v>78</v>
      </c>
      <c r="I611">
        <v>3</v>
      </c>
      <c r="J611">
        <v>1</v>
      </c>
      <c r="K611" t="s">
        <v>171</v>
      </c>
      <c r="L611">
        <v>1</v>
      </c>
      <c r="M611" t="s">
        <v>172</v>
      </c>
      <c r="N611">
        <v>1109</v>
      </c>
    </row>
    <row r="612" spans="1:14">
      <c r="A612">
        <v>62</v>
      </c>
      <c r="B612">
        <v>46199</v>
      </c>
      <c r="C612" t="s">
        <v>19</v>
      </c>
      <c r="D612" t="s">
        <v>61</v>
      </c>
      <c r="E612">
        <v>1</v>
      </c>
      <c r="F612">
        <v>46195</v>
      </c>
      <c r="G612" t="s">
        <v>61</v>
      </c>
      <c r="H612" t="s">
        <v>63</v>
      </c>
      <c r="I612">
        <v>2</v>
      </c>
      <c r="J612">
        <v>3</v>
      </c>
      <c r="K612" t="s">
        <v>69</v>
      </c>
      <c r="L612">
        <v>0</v>
      </c>
      <c r="M612" t="s">
        <v>242</v>
      </c>
      <c r="N612">
        <v>1376</v>
      </c>
    </row>
    <row r="613" spans="1:14">
      <c r="A613">
        <v>62</v>
      </c>
      <c r="B613">
        <v>46199</v>
      </c>
      <c r="C613" t="s">
        <v>19</v>
      </c>
      <c r="D613" t="s">
        <v>61</v>
      </c>
      <c r="E613">
        <v>2</v>
      </c>
      <c r="F613">
        <v>46189</v>
      </c>
      <c r="G613" t="s">
        <v>61</v>
      </c>
      <c r="H613" t="s">
        <v>60</v>
      </c>
      <c r="I613">
        <v>1</v>
      </c>
      <c r="J613">
        <v>3</v>
      </c>
      <c r="K613" t="s">
        <v>69</v>
      </c>
      <c r="L613">
        <v>0</v>
      </c>
      <c r="M613" t="s">
        <v>242</v>
      </c>
      <c r="N613">
        <v>1351</v>
      </c>
    </row>
    <row r="614" spans="1:14">
      <c r="A614">
        <v>62</v>
      </c>
      <c r="B614">
        <v>46199</v>
      </c>
      <c r="C614" t="s">
        <v>19</v>
      </c>
      <c r="D614" t="s">
        <v>61</v>
      </c>
      <c r="E614">
        <v>3</v>
      </c>
      <c r="F614">
        <v>46182</v>
      </c>
      <c r="G614" t="s">
        <v>61</v>
      </c>
      <c r="H614" t="s">
        <v>50</v>
      </c>
      <c r="I614">
        <v>0</v>
      </c>
      <c r="J614">
        <v>0</v>
      </c>
      <c r="K614" t="s">
        <v>27</v>
      </c>
      <c r="L614">
        <v>0</v>
      </c>
      <c r="M614" t="s">
        <v>172</v>
      </c>
      <c r="N614">
        <v>1322</v>
      </c>
    </row>
    <row r="615" spans="1:14">
      <c r="A615">
        <v>62</v>
      </c>
      <c r="B615">
        <v>46199</v>
      </c>
      <c r="C615" t="s">
        <v>19</v>
      </c>
      <c r="D615" t="s">
        <v>61</v>
      </c>
      <c r="E615">
        <v>4</v>
      </c>
      <c r="F615">
        <v>46173</v>
      </c>
      <c r="G615" t="s">
        <v>61</v>
      </c>
      <c r="H615" t="s">
        <v>193</v>
      </c>
      <c r="I615">
        <v>2</v>
      </c>
      <c r="J615">
        <v>3</v>
      </c>
      <c r="K615" t="s">
        <v>69</v>
      </c>
      <c r="L615">
        <v>0</v>
      </c>
      <c r="M615" t="s">
        <v>172</v>
      </c>
      <c r="N615">
        <v>1205</v>
      </c>
    </row>
    <row r="616" spans="1:14">
      <c r="A616">
        <v>62</v>
      </c>
      <c r="B616">
        <v>46199</v>
      </c>
      <c r="C616" t="s">
        <v>19</v>
      </c>
      <c r="D616" t="s">
        <v>61</v>
      </c>
      <c r="E616">
        <v>5</v>
      </c>
      <c r="F616">
        <v>46112</v>
      </c>
      <c r="G616" t="s">
        <v>61</v>
      </c>
      <c r="H616" t="s">
        <v>222</v>
      </c>
      <c r="I616">
        <v>3</v>
      </c>
      <c r="J616">
        <v>1</v>
      </c>
      <c r="K616" t="s">
        <v>171</v>
      </c>
      <c r="L616">
        <v>1</v>
      </c>
      <c r="M616" t="s">
        <v>172</v>
      </c>
      <c r="N616">
        <v>1160</v>
      </c>
    </row>
    <row r="617" spans="1:14">
      <c r="A617">
        <v>62</v>
      </c>
      <c r="B617">
        <v>46199</v>
      </c>
      <c r="C617" t="s">
        <v>24</v>
      </c>
      <c r="D617" t="s">
        <v>62</v>
      </c>
      <c r="E617">
        <v>1</v>
      </c>
      <c r="F617">
        <v>46195</v>
      </c>
      <c r="G617" t="s">
        <v>62</v>
      </c>
      <c r="H617" t="s">
        <v>60</v>
      </c>
      <c r="I617">
        <v>0</v>
      </c>
      <c r="J617">
        <v>3</v>
      </c>
      <c r="K617" t="s">
        <v>69</v>
      </c>
      <c r="L617">
        <v>0</v>
      </c>
      <c r="M617" t="s">
        <v>242</v>
      </c>
      <c r="N617">
        <v>1375</v>
      </c>
    </row>
    <row r="618" spans="1:14">
      <c r="A618">
        <v>62</v>
      </c>
      <c r="B618">
        <v>46199</v>
      </c>
      <c r="C618" t="s">
        <v>24</v>
      </c>
      <c r="D618" t="s">
        <v>62</v>
      </c>
      <c r="E618">
        <v>2</v>
      </c>
      <c r="F618">
        <v>46189</v>
      </c>
      <c r="G618" t="s">
        <v>62</v>
      </c>
      <c r="H618" t="s">
        <v>63</v>
      </c>
      <c r="I618">
        <v>1</v>
      </c>
      <c r="J618">
        <v>4</v>
      </c>
      <c r="K618" t="s">
        <v>69</v>
      </c>
      <c r="L618">
        <v>0</v>
      </c>
      <c r="M618" t="s">
        <v>242</v>
      </c>
      <c r="N618">
        <v>1352</v>
      </c>
    </row>
    <row r="619" spans="1:14">
      <c r="A619">
        <v>62</v>
      </c>
      <c r="B619">
        <v>46199</v>
      </c>
      <c r="C619" t="s">
        <v>24</v>
      </c>
      <c r="D619" t="s">
        <v>62</v>
      </c>
      <c r="E619">
        <v>3</v>
      </c>
      <c r="F619">
        <v>46182</v>
      </c>
      <c r="G619" t="s">
        <v>62</v>
      </c>
      <c r="H619" t="s">
        <v>189</v>
      </c>
      <c r="I619">
        <v>0</v>
      </c>
      <c r="J619">
        <v>2</v>
      </c>
      <c r="K619" t="s">
        <v>69</v>
      </c>
      <c r="L619">
        <v>0</v>
      </c>
      <c r="M619" t="s">
        <v>172</v>
      </c>
      <c r="N619">
        <v>1330</v>
      </c>
    </row>
    <row r="620" spans="1:14">
      <c r="A620">
        <v>62</v>
      </c>
      <c r="B620">
        <v>46199</v>
      </c>
      <c r="C620" t="s">
        <v>24</v>
      </c>
      <c r="D620" t="s">
        <v>62</v>
      </c>
      <c r="E620">
        <v>4</v>
      </c>
      <c r="F620">
        <v>46177</v>
      </c>
      <c r="G620" t="s">
        <v>62</v>
      </c>
      <c r="H620" t="s">
        <v>52</v>
      </c>
      <c r="I620">
        <v>1</v>
      </c>
      <c r="J620">
        <v>1</v>
      </c>
      <c r="K620" t="s">
        <v>27</v>
      </c>
      <c r="L620">
        <v>0</v>
      </c>
      <c r="M620" t="s">
        <v>172</v>
      </c>
      <c r="N620">
        <v>1245</v>
      </c>
    </row>
    <row r="621" spans="1:14">
      <c r="A621">
        <v>62</v>
      </c>
      <c r="B621">
        <v>46199</v>
      </c>
      <c r="C621" t="s">
        <v>24</v>
      </c>
      <c r="D621" t="s">
        <v>62</v>
      </c>
      <c r="E621">
        <v>5</v>
      </c>
      <c r="F621">
        <v>46171</v>
      </c>
      <c r="G621" t="s">
        <v>62</v>
      </c>
      <c r="H621" t="s">
        <v>230</v>
      </c>
      <c r="I621">
        <v>1</v>
      </c>
      <c r="J621">
        <v>0</v>
      </c>
      <c r="K621" t="s">
        <v>171</v>
      </c>
      <c r="L621">
        <v>1</v>
      </c>
      <c r="M621" t="s">
        <v>172</v>
      </c>
      <c r="N621">
        <v>1188</v>
      </c>
    </row>
    <row r="622" spans="1:14">
      <c r="A622">
        <v>63</v>
      </c>
      <c r="B622">
        <v>46199</v>
      </c>
      <c r="C622" t="s">
        <v>19</v>
      </c>
      <c r="D622" t="s">
        <v>58</v>
      </c>
      <c r="E622">
        <v>1</v>
      </c>
      <c r="F622">
        <v>46194</v>
      </c>
      <c r="G622" t="s">
        <v>58</v>
      </c>
      <c r="H622" t="s">
        <v>56</v>
      </c>
      <c r="I622">
        <v>3</v>
      </c>
      <c r="J622">
        <v>1</v>
      </c>
      <c r="K622" t="s">
        <v>171</v>
      </c>
      <c r="L622">
        <v>1</v>
      </c>
      <c r="M622" t="s">
        <v>242</v>
      </c>
      <c r="N622">
        <v>1372</v>
      </c>
    </row>
    <row r="623" spans="1:14">
      <c r="A623">
        <v>63</v>
      </c>
      <c r="B623">
        <v>46199</v>
      </c>
      <c r="C623" t="s">
        <v>19</v>
      </c>
      <c r="D623" t="s">
        <v>58</v>
      </c>
      <c r="E623">
        <v>2</v>
      </c>
      <c r="F623">
        <v>46188</v>
      </c>
      <c r="G623" t="s">
        <v>58</v>
      </c>
      <c r="H623" t="s">
        <v>57</v>
      </c>
      <c r="I623">
        <v>1</v>
      </c>
      <c r="J623">
        <v>1</v>
      </c>
      <c r="K623" t="s">
        <v>27</v>
      </c>
      <c r="L623">
        <v>0</v>
      </c>
      <c r="M623" t="s">
        <v>242</v>
      </c>
      <c r="N623">
        <v>1347</v>
      </c>
    </row>
    <row r="624" spans="1:14">
      <c r="A624">
        <v>63</v>
      </c>
      <c r="B624">
        <v>46199</v>
      </c>
      <c r="C624" t="s">
        <v>19</v>
      </c>
      <c r="D624" t="s">
        <v>58</v>
      </c>
      <c r="E624">
        <v>3</v>
      </c>
      <c r="F624">
        <v>46179</v>
      </c>
      <c r="G624" t="s">
        <v>58</v>
      </c>
      <c r="H624" t="s">
        <v>35</v>
      </c>
      <c r="I624">
        <v>1</v>
      </c>
      <c r="J624">
        <v>2</v>
      </c>
      <c r="K624" t="s">
        <v>69</v>
      </c>
      <c r="L624">
        <v>0</v>
      </c>
      <c r="M624" t="s">
        <v>172</v>
      </c>
      <c r="N624">
        <v>1278</v>
      </c>
    </row>
    <row r="625" spans="1:14">
      <c r="A625">
        <v>63</v>
      </c>
      <c r="B625">
        <v>46199</v>
      </c>
      <c r="C625" t="s">
        <v>19</v>
      </c>
      <c r="D625" t="s">
        <v>58</v>
      </c>
      <c r="E625">
        <v>4</v>
      </c>
      <c r="F625">
        <v>46170</v>
      </c>
      <c r="G625" t="s">
        <v>58</v>
      </c>
      <c r="H625" t="s">
        <v>227</v>
      </c>
      <c r="I625">
        <v>1</v>
      </c>
      <c r="J625">
        <v>0</v>
      </c>
      <c r="K625" t="s">
        <v>171</v>
      </c>
      <c r="L625">
        <v>1</v>
      </c>
      <c r="M625" t="s">
        <v>172</v>
      </c>
      <c r="N625">
        <v>1187</v>
      </c>
    </row>
    <row r="626" spans="1:14">
      <c r="A626">
        <v>63</v>
      </c>
      <c r="B626">
        <v>46199</v>
      </c>
      <c r="C626" t="s">
        <v>19</v>
      </c>
      <c r="D626" t="s">
        <v>58</v>
      </c>
      <c r="E626">
        <v>5</v>
      </c>
      <c r="F626">
        <v>46112</v>
      </c>
      <c r="G626" t="s">
        <v>58</v>
      </c>
      <c r="H626" t="s">
        <v>52</v>
      </c>
      <c r="I626">
        <v>0</v>
      </c>
      <c r="J626">
        <v>0</v>
      </c>
      <c r="K626" t="s">
        <v>27</v>
      </c>
      <c r="L626">
        <v>0</v>
      </c>
      <c r="M626" t="s">
        <v>172</v>
      </c>
      <c r="N626">
        <v>1164</v>
      </c>
    </row>
    <row r="627" spans="1:14">
      <c r="A627">
        <v>63</v>
      </c>
      <c r="B627">
        <v>46199</v>
      </c>
      <c r="C627" t="s">
        <v>24</v>
      </c>
      <c r="D627" t="s">
        <v>55</v>
      </c>
      <c r="E627">
        <v>1</v>
      </c>
      <c r="F627">
        <v>46194</v>
      </c>
      <c r="G627" t="s">
        <v>221</v>
      </c>
      <c r="H627" t="s">
        <v>57</v>
      </c>
      <c r="I627">
        <v>0</v>
      </c>
      <c r="J627">
        <v>0</v>
      </c>
      <c r="K627" t="s">
        <v>27</v>
      </c>
      <c r="L627">
        <v>0</v>
      </c>
      <c r="M627" t="s">
        <v>242</v>
      </c>
      <c r="N627">
        <v>1371</v>
      </c>
    </row>
    <row r="628" spans="1:14">
      <c r="A628">
        <v>63</v>
      </c>
      <c r="B628">
        <v>46199</v>
      </c>
      <c r="C628" t="s">
        <v>24</v>
      </c>
      <c r="D628" t="s">
        <v>55</v>
      </c>
      <c r="E628">
        <v>2</v>
      </c>
      <c r="F628">
        <v>46188</v>
      </c>
      <c r="G628" t="s">
        <v>221</v>
      </c>
      <c r="H628" t="s">
        <v>56</v>
      </c>
      <c r="I628">
        <v>2</v>
      </c>
      <c r="J628">
        <v>2</v>
      </c>
      <c r="K628" t="s">
        <v>27</v>
      </c>
      <c r="L628">
        <v>0</v>
      </c>
      <c r="M628" t="s">
        <v>242</v>
      </c>
      <c r="N628">
        <v>1348</v>
      </c>
    </row>
    <row r="629" spans="1:14">
      <c r="A629">
        <v>63</v>
      </c>
      <c r="B629">
        <v>46199</v>
      </c>
      <c r="C629" t="s">
        <v>24</v>
      </c>
      <c r="D629" t="s">
        <v>55</v>
      </c>
      <c r="E629">
        <v>3</v>
      </c>
      <c r="F629">
        <v>46177</v>
      </c>
      <c r="G629" t="s">
        <v>221</v>
      </c>
      <c r="H629" t="s">
        <v>215</v>
      </c>
      <c r="I629">
        <v>2</v>
      </c>
      <c r="J629">
        <v>0</v>
      </c>
      <c r="K629" t="s">
        <v>171</v>
      </c>
      <c r="L629">
        <v>1</v>
      </c>
      <c r="M629" t="s">
        <v>172</v>
      </c>
      <c r="N629">
        <v>1240</v>
      </c>
    </row>
    <row r="630" spans="1:14">
      <c r="A630">
        <v>63</v>
      </c>
      <c r="B630">
        <v>46199</v>
      </c>
      <c r="C630" t="s">
        <v>24</v>
      </c>
      <c r="D630" t="s">
        <v>55</v>
      </c>
      <c r="E630">
        <v>4</v>
      </c>
      <c r="F630">
        <v>46171</v>
      </c>
      <c r="G630" t="s">
        <v>221</v>
      </c>
      <c r="H630" t="s">
        <v>222</v>
      </c>
      <c r="I630">
        <v>3</v>
      </c>
      <c r="J630">
        <v>1</v>
      </c>
      <c r="K630" t="s">
        <v>171</v>
      </c>
      <c r="L630">
        <v>1</v>
      </c>
      <c r="M630" t="s">
        <v>172</v>
      </c>
      <c r="N630">
        <v>1190</v>
      </c>
    </row>
    <row r="631" spans="1:14">
      <c r="A631">
        <v>63</v>
      </c>
      <c r="B631">
        <v>46199</v>
      </c>
      <c r="C631" t="s">
        <v>24</v>
      </c>
      <c r="D631" t="s">
        <v>55</v>
      </c>
      <c r="E631">
        <v>5</v>
      </c>
      <c r="F631">
        <v>46112</v>
      </c>
      <c r="G631" t="s">
        <v>221</v>
      </c>
      <c r="H631" t="s">
        <v>223</v>
      </c>
      <c r="I631">
        <v>5</v>
      </c>
      <c r="J631">
        <v>0</v>
      </c>
      <c r="K631" t="s">
        <v>171</v>
      </c>
      <c r="L631">
        <v>1</v>
      </c>
      <c r="M631" t="s">
        <v>224</v>
      </c>
      <c r="N631">
        <v>1141</v>
      </c>
    </row>
    <row r="632" spans="1:14">
      <c r="A632">
        <v>64</v>
      </c>
      <c r="B632">
        <v>46199</v>
      </c>
      <c r="C632" t="s">
        <v>19</v>
      </c>
      <c r="D632" t="s">
        <v>56</v>
      </c>
      <c r="E632">
        <v>1</v>
      </c>
      <c r="F632">
        <v>46194</v>
      </c>
      <c r="G632" t="s">
        <v>56</v>
      </c>
      <c r="H632" t="s">
        <v>58</v>
      </c>
      <c r="I632">
        <v>1</v>
      </c>
      <c r="J632">
        <v>3</v>
      </c>
      <c r="K632" t="s">
        <v>69</v>
      </c>
      <c r="L632">
        <v>0</v>
      </c>
      <c r="M632" t="s">
        <v>242</v>
      </c>
      <c r="N632">
        <v>1372</v>
      </c>
    </row>
    <row r="633" spans="1:14">
      <c r="A633">
        <v>64</v>
      </c>
      <c r="B633">
        <v>46199</v>
      </c>
      <c r="C633" t="s">
        <v>19</v>
      </c>
      <c r="D633" t="s">
        <v>56</v>
      </c>
      <c r="E633">
        <v>2</v>
      </c>
      <c r="F633">
        <v>46188</v>
      </c>
      <c r="G633" t="s">
        <v>56</v>
      </c>
      <c r="H633" t="s">
        <v>221</v>
      </c>
      <c r="I633">
        <v>2</v>
      </c>
      <c r="J633">
        <v>2</v>
      </c>
      <c r="K633" t="s">
        <v>27</v>
      </c>
      <c r="L633">
        <v>0</v>
      </c>
      <c r="M633" t="s">
        <v>242</v>
      </c>
      <c r="N633">
        <v>1348</v>
      </c>
    </row>
    <row r="634" spans="1:14">
      <c r="A634">
        <v>64</v>
      </c>
      <c r="B634">
        <v>46199</v>
      </c>
      <c r="C634" t="s">
        <v>19</v>
      </c>
      <c r="D634" t="s">
        <v>56</v>
      </c>
      <c r="E634">
        <v>3</v>
      </c>
      <c r="F634">
        <v>46179</v>
      </c>
      <c r="G634" t="s">
        <v>56</v>
      </c>
      <c r="H634" t="s">
        <v>72</v>
      </c>
      <c r="I634">
        <v>0</v>
      </c>
      <c r="J634">
        <v>1</v>
      </c>
      <c r="K634" t="s">
        <v>69</v>
      </c>
      <c r="L634">
        <v>0</v>
      </c>
      <c r="M634" t="s">
        <v>172</v>
      </c>
      <c r="N634">
        <v>1280</v>
      </c>
    </row>
    <row r="635" spans="1:14">
      <c r="A635">
        <v>64</v>
      </c>
      <c r="B635">
        <v>46199</v>
      </c>
      <c r="C635" t="s">
        <v>19</v>
      </c>
      <c r="D635" t="s">
        <v>56</v>
      </c>
      <c r="E635">
        <v>4</v>
      </c>
      <c r="F635">
        <v>46175</v>
      </c>
      <c r="G635" t="s">
        <v>56</v>
      </c>
      <c r="H635" t="s">
        <v>31</v>
      </c>
      <c r="I635">
        <v>0</v>
      </c>
      <c r="J635">
        <v>4</v>
      </c>
      <c r="K635" t="s">
        <v>69</v>
      </c>
      <c r="L635">
        <v>0</v>
      </c>
      <c r="M635" t="s">
        <v>172</v>
      </c>
      <c r="N635">
        <v>1217</v>
      </c>
    </row>
    <row r="636" spans="1:14">
      <c r="A636">
        <v>64</v>
      </c>
      <c r="B636">
        <v>46199</v>
      </c>
      <c r="C636" t="s">
        <v>19</v>
      </c>
      <c r="D636" t="s">
        <v>56</v>
      </c>
      <c r="E636">
        <v>5</v>
      </c>
      <c r="F636">
        <v>46111</v>
      </c>
      <c r="G636" t="s">
        <v>56</v>
      </c>
      <c r="H636" t="s">
        <v>219</v>
      </c>
      <c r="I636">
        <v>4</v>
      </c>
      <c r="J636">
        <v>1</v>
      </c>
      <c r="K636" t="s">
        <v>171</v>
      </c>
      <c r="L636">
        <v>1</v>
      </c>
      <c r="M636" t="s">
        <v>197</v>
      </c>
      <c r="N636">
        <v>1127</v>
      </c>
    </row>
    <row r="637" spans="1:14">
      <c r="A637">
        <v>64</v>
      </c>
      <c r="B637">
        <v>46199</v>
      </c>
      <c r="C637" t="s">
        <v>24</v>
      </c>
      <c r="D637" t="s">
        <v>57</v>
      </c>
      <c r="E637">
        <v>1</v>
      </c>
      <c r="F637">
        <v>46194</v>
      </c>
      <c r="G637" t="s">
        <v>57</v>
      </c>
      <c r="H637" t="s">
        <v>221</v>
      </c>
      <c r="I637">
        <v>0</v>
      </c>
      <c r="J637">
        <v>0</v>
      </c>
      <c r="K637" t="s">
        <v>27</v>
      </c>
      <c r="L637">
        <v>0</v>
      </c>
      <c r="M637" t="s">
        <v>242</v>
      </c>
      <c r="N637">
        <v>1371</v>
      </c>
    </row>
    <row r="638" spans="1:14">
      <c r="A638">
        <v>64</v>
      </c>
      <c r="B638">
        <v>46199</v>
      </c>
      <c r="C638" t="s">
        <v>24</v>
      </c>
      <c r="D638" t="s">
        <v>57</v>
      </c>
      <c r="E638">
        <v>2</v>
      </c>
      <c r="F638">
        <v>46188</v>
      </c>
      <c r="G638" t="s">
        <v>57</v>
      </c>
      <c r="H638" t="s">
        <v>58</v>
      </c>
      <c r="I638">
        <v>1</v>
      </c>
      <c r="J638">
        <v>1</v>
      </c>
      <c r="K638" t="s">
        <v>27</v>
      </c>
      <c r="L638">
        <v>0</v>
      </c>
      <c r="M638" t="s">
        <v>242</v>
      </c>
      <c r="N638">
        <v>1347</v>
      </c>
    </row>
    <row r="639" spans="1:14">
      <c r="A639">
        <v>64</v>
      </c>
      <c r="B639">
        <v>46199</v>
      </c>
      <c r="C639" t="s">
        <v>24</v>
      </c>
      <c r="D639" t="s">
        <v>57</v>
      </c>
      <c r="E639">
        <v>3</v>
      </c>
      <c r="F639">
        <v>46179</v>
      </c>
      <c r="G639" t="s">
        <v>57</v>
      </c>
      <c r="H639" t="s">
        <v>48</v>
      </c>
      <c r="I639">
        <v>5</v>
      </c>
      <c r="J639">
        <v>0</v>
      </c>
      <c r="K639" t="s">
        <v>171</v>
      </c>
      <c r="L639">
        <v>1</v>
      </c>
      <c r="M639" t="s">
        <v>172</v>
      </c>
      <c r="N639">
        <v>1275</v>
      </c>
    </row>
    <row r="640" spans="1:14">
      <c r="A640">
        <v>64</v>
      </c>
      <c r="B640">
        <v>46199</v>
      </c>
      <c r="C640" t="s">
        <v>24</v>
      </c>
      <c r="D640" t="s">
        <v>57</v>
      </c>
      <c r="E640">
        <v>4</v>
      </c>
      <c r="F640">
        <v>46175</v>
      </c>
      <c r="G640" t="s">
        <v>57</v>
      </c>
      <c r="H640" t="s">
        <v>73</v>
      </c>
      <c r="I640">
        <v>2</v>
      </c>
      <c r="J640">
        <v>0</v>
      </c>
      <c r="K640" t="s">
        <v>171</v>
      </c>
      <c r="L640">
        <v>1</v>
      </c>
      <c r="M640" t="s">
        <v>172</v>
      </c>
      <c r="N640">
        <v>1215</v>
      </c>
    </row>
    <row r="641" spans="1:14">
      <c r="A641">
        <v>64</v>
      </c>
      <c r="B641">
        <v>46199</v>
      </c>
      <c r="C641" t="s">
        <v>24</v>
      </c>
      <c r="D641" t="s">
        <v>57</v>
      </c>
      <c r="E641">
        <v>5</v>
      </c>
      <c r="F641">
        <v>46112</v>
      </c>
      <c r="G641" t="s">
        <v>57</v>
      </c>
      <c r="H641" t="s">
        <v>20</v>
      </c>
      <c r="I641">
        <v>1</v>
      </c>
      <c r="J641">
        <v>1</v>
      </c>
      <c r="K641" t="s">
        <v>27</v>
      </c>
      <c r="L641">
        <v>0</v>
      </c>
      <c r="M641" t="s">
        <v>172</v>
      </c>
      <c r="N641">
        <v>1150</v>
      </c>
    </row>
    <row r="642" spans="1:14">
      <c r="A642">
        <v>65</v>
      </c>
      <c r="B642">
        <v>46199</v>
      </c>
      <c r="C642" t="s">
        <v>19</v>
      </c>
      <c r="D642" t="s">
        <v>53</v>
      </c>
      <c r="E642">
        <v>1</v>
      </c>
      <c r="F642">
        <v>46194</v>
      </c>
      <c r="G642" t="s">
        <v>217</v>
      </c>
      <c r="H642" t="s">
        <v>51</v>
      </c>
      <c r="I642">
        <v>2</v>
      </c>
      <c r="J642">
        <v>2</v>
      </c>
      <c r="K642" t="s">
        <v>27</v>
      </c>
      <c r="L642">
        <v>0</v>
      </c>
      <c r="M642" t="s">
        <v>242</v>
      </c>
      <c r="N642">
        <v>1374</v>
      </c>
    </row>
    <row r="643" spans="1:14">
      <c r="A643">
        <v>65</v>
      </c>
      <c r="B643">
        <v>46199</v>
      </c>
      <c r="C643" t="s">
        <v>19</v>
      </c>
      <c r="D643" t="s">
        <v>53</v>
      </c>
      <c r="E643">
        <v>2</v>
      </c>
      <c r="F643">
        <v>46188</v>
      </c>
      <c r="G643" t="s">
        <v>217</v>
      </c>
      <c r="H643" t="s">
        <v>52</v>
      </c>
      <c r="I643">
        <v>0</v>
      </c>
      <c r="J643">
        <v>0</v>
      </c>
      <c r="K643" t="s">
        <v>27</v>
      </c>
      <c r="L643">
        <v>0</v>
      </c>
      <c r="M643" t="s">
        <v>242</v>
      </c>
      <c r="N643">
        <v>1349</v>
      </c>
    </row>
    <row r="644" spans="1:14">
      <c r="A644">
        <v>65</v>
      </c>
      <c r="B644">
        <v>46199</v>
      </c>
      <c r="C644" t="s">
        <v>19</v>
      </c>
      <c r="D644" t="s">
        <v>53</v>
      </c>
      <c r="E644">
        <v>3</v>
      </c>
      <c r="F644">
        <v>46179</v>
      </c>
      <c r="G644" t="s">
        <v>217</v>
      </c>
      <c r="H644" t="s">
        <v>218</v>
      </c>
      <c r="I644">
        <v>0</v>
      </c>
      <c r="J644">
        <v>3</v>
      </c>
      <c r="K644" t="s">
        <v>69</v>
      </c>
      <c r="L644">
        <v>0</v>
      </c>
      <c r="M644" t="s">
        <v>172</v>
      </c>
      <c r="N644">
        <v>1276</v>
      </c>
    </row>
    <row r="645" spans="1:14">
      <c r="A645">
        <v>65</v>
      </c>
      <c r="B645">
        <v>46199</v>
      </c>
      <c r="C645" t="s">
        <v>19</v>
      </c>
      <c r="D645" t="s">
        <v>53</v>
      </c>
      <c r="E645">
        <v>4</v>
      </c>
      <c r="F645">
        <v>46173</v>
      </c>
      <c r="G645" t="s">
        <v>217</v>
      </c>
      <c r="H645" t="s">
        <v>170</v>
      </c>
      <c r="I645">
        <v>3</v>
      </c>
      <c r="J645">
        <v>0</v>
      </c>
      <c r="K645" t="s">
        <v>171</v>
      </c>
      <c r="L645">
        <v>1</v>
      </c>
      <c r="M645" t="s">
        <v>172</v>
      </c>
      <c r="N645">
        <v>1199</v>
      </c>
    </row>
    <row r="646" spans="1:14">
      <c r="A646">
        <v>65</v>
      </c>
      <c r="B646">
        <v>46199</v>
      </c>
      <c r="C646" t="s">
        <v>19</v>
      </c>
      <c r="D646" t="s">
        <v>53</v>
      </c>
      <c r="E646">
        <v>5</v>
      </c>
      <c r="F646">
        <v>46111</v>
      </c>
      <c r="G646" t="s">
        <v>217</v>
      </c>
      <c r="H646" t="s">
        <v>206</v>
      </c>
      <c r="I646">
        <v>1</v>
      </c>
      <c r="J646">
        <v>1</v>
      </c>
      <c r="K646" t="s">
        <v>27</v>
      </c>
      <c r="L646">
        <v>0</v>
      </c>
      <c r="M646" t="s">
        <v>197</v>
      </c>
      <c r="N646">
        <v>1126</v>
      </c>
    </row>
    <row r="647" spans="1:14">
      <c r="A647">
        <v>65</v>
      </c>
      <c r="B647">
        <v>46199</v>
      </c>
      <c r="C647" t="s">
        <v>24</v>
      </c>
      <c r="D647" t="s">
        <v>50</v>
      </c>
      <c r="E647">
        <v>1</v>
      </c>
      <c r="F647">
        <v>46194</v>
      </c>
      <c r="G647" t="s">
        <v>50</v>
      </c>
      <c r="H647" t="s">
        <v>52</v>
      </c>
      <c r="I647">
        <v>0</v>
      </c>
      <c r="J647">
        <v>4</v>
      </c>
      <c r="K647" t="s">
        <v>69</v>
      </c>
      <c r="L647">
        <v>0</v>
      </c>
      <c r="M647" t="s">
        <v>242</v>
      </c>
      <c r="N647">
        <v>1373</v>
      </c>
    </row>
    <row r="648" spans="1:14">
      <c r="A648">
        <v>65</v>
      </c>
      <c r="B648">
        <v>46199</v>
      </c>
      <c r="C648" t="s">
        <v>24</v>
      </c>
      <c r="D648" t="s">
        <v>50</v>
      </c>
      <c r="E648">
        <v>2</v>
      </c>
      <c r="F648">
        <v>46188</v>
      </c>
      <c r="G648" t="s">
        <v>50</v>
      </c>
      <c r="H648" t="s">
        <v>51</v>
      </c>
      <c r="I648">
        <v>1</v>
      </c>
      <c r="J648">
        <v>1</v>
      </c>
      <c r="K648" t="s">
        <v>27</v>
      </c>
      <c r="L648">
        <v>0</v>
      </c>
      <c r="M648" t="s">
        <v>242</v>
      </c>
      <c r="N648">
        <v>1350</v>
      </c>
    </row>
    <row r="649" spans="1:14">
      <c r="A649">
        <v>65</v>
      </c>
      <c r="B649">
        <v>46199</v>
      </c>
      <c r="C649" t="s">
        <v>24</v>
      </c>
      <c r="D649" t="s">
        <v>50</v>
      </c>
      <c r="E649">
        <v>3</v>
      </c>
      <c r="F649">
        <v>46182</v>
      </c>
      <c r="G649" t="s">
        <v>50</v>
      </c>
      <c r="H649" t="s">
        <v>61</v>
      </c>
      <c r="I649">
        <v>0</v>
      </c>
      <c r="J649">
        <v>0</v>
      </c>
      <c r="K649" t="s">
        <v>27</v>
      </c>
      <c r="L649">
        <v>0</v>
      </c>
      <c r="M649" t="s">
        <v>172</v>
      </c>
      <c r="N649">
        <v>1322</v>
      </c>
    </row>
    <row r="650" spans="1:14">
      <c r="A650">
        <v>65</v>
      </c>
      <c r="B650">
        <v>46199</v>
      </c>
      <c r="C650" t="s">
        <v>24</v>
      </c>
      <c r="D650" t="s">
        <v>50</v>
      </c>
      <c r="E650">
        <v>4</v>
      </c>
      <c r="F650">
        <v>46178</v>
      </c>
      <c r="G650" t="s">
        <v>50</v>
      </c>
      <c r="H650" t="s">
        <v>216</v>
      </c>
      <c r="I650">
        <v>3</v>
      </c>
      <c r="J650">
        <v>0</v>
      </c>
      <c r="K650" t="s">
        <v>171</v>
      </c>
      <c r="L650">
        <v>1</v>
      </c>
      <c r="M650" t="s">
        <v>172</v>
      </c>
      <c r="N650">
        <v>1266</v>
      </c>
    </row>
    <row r="651" spans="1:14">
      <c r="A651">
        <v>65</v>
      </c>
      <c r="B651">
        <v>46199</v>
      </c>
      <c r="C651" t="s">
        <v>24</v>
      </c>
      <c r="D651" t="s">
        <v>50</v>
      </c>
      <c r="E651">
        <v>5</v>
      </c>
      <c r="F651">
        <v>46172</v>
      </c>
      <c r="G651" t="s">
        <v>50</v>
      </c>
      <c r="H651" t="s">
        <v>41</v>
      </c>
      <c r="I651">
        <v>1</v>
      </c>
      <c r="J651">
        <v>2</v>
      </c>
      <c r="K651" t="s">
        <v>69</v>
      </c>
      <c r="L651">
        <v>0</v>
      </c>
      <c r="M651" t="s">
        <v>172</v>
      </c>
      <c r="N651">
        <v>1192</v>
      </c>
    </row>
    <row r="652" spans="1:14">
      <c r="A652">
        <v>66</v>
      </c>
      <c r="B652">
        <v>46199</v>
      </c>
      <c r="C652" t="s">
        <v>19</v>
      </c>
      <c r="D652" t="s">
        <v>51</v>
      </c>
      <c r="E652">
        <v>1</v>
      </c>
      <c r="F652">
        <v>46194</v>
      </c>
      <c r="G652" t="s">
        <v>51</v>
      </c>
      <c r="H652" t="s">
        <v>217</v>
      </c>
      <c r="I652">
        <v>2</v>
      </c>
      <c r="J652">
        <v>2</v>
      </c>
      <c r="K652" t="s">
        <v>27</v>
      </c>
      <c r="L652">
        <v>0</v>
      </c>
      <c r="M652" t="s">
        <v>242</v>
      </c>
      <c r="N652">
        <v>1374</v>
      </c>
    </row>
    <row r="653" spans="1:14">
      <c r="A653">
        <v>66</v>
      </c>
      <c r="B653">
        <v>46199</v>
      </c>
      <c r="C653" t="s">
        <v>19</v>
      </c>
      <c r="D653" t="s">
        <v>51</v>
      </c>
      <c r="E653">
        <v>2</v>
      </c>
      <c r="F653">
        <v>46188</v>
      </c>
      <c r="G653" t="s">
        <v>51</v>
      </c>
      <c r="H653" t="s">
        <v>50</v>
      </c>
      <c r="I653">
        <v>1</v>
      </c>
      <c r="J653">
        <v>1</v>
      </c>
      <c r="K653" t="s">
        <v>27</v>
      </c>
      <c r="L653">
        <v>0</v>
      </c>
      <c r="M653" t="s">
        <v>242</v>
      </c>
      <c r="N653">
        <v>1350</v>
      </c>
    </row>
    <row r="654" spans="1:14">
      <c r="A654">
        <v>66</v>
      </c>
      <c r="B654">
        <v>46199</v>
      </c>
      <c r="C654" t="s">
        <v>19</v>
      </c>
      <c r="D654" t="s">
        <v>51</v>
      </c>
      <c r="E654">
        <v>3</v>
      </c>
      <c r="F654">
        <v>46112</v>
      </c>
      <c r="G654" t="s">
        <v>51</v>
      </c>
      <c r="H654" t="s">
        <v>66</v>
      </c>
      <c r="I654">
        <v>0</v>
      </c>
      <c r="J654">
        <v>0</v>
      </c>
      <c r="K654" t="s">
        <v>27</v>
      </c>
      <c r="L654">
        <v>0</v>
      </c>
      <c r="M654" t="s">
        <v>172</v>
      </c>
      <c r="N654">
        <v>1134</v>
      </c>
    </row>
    <row r="655" spans="1:14">
      <c r="A655">
        <v>66</v>
      </c>
      <c r="B655">
        <v>46199</v>
      </c>
      <c r="C655" t="s">
        <v>19</v>
      </c>
      <c r="D655" t="s">
        <v>51</v>
      </c>
      <c r="E655">
        <v>4</v>
      </c>
      <c r="F655">
        <v>46108</v>
      </c>
      <c r="G655" t="s">
        <v>51</v>
      </c>
      <c r="H655" t="s">
        <v>72</v>
      </c>
      <c r="I655">
        <v>1</v>
      </c>
      <c r="J655">
        <v>1</v>
      </c>
      <c r="K655" t="s">
        <v>27</v>
      </c>
      <c r="L655">
        <v>0</v>
      </c>
      <c r="M655" t="s">
        <v>172</v>
      </c>
      <c r="N655">
        <v>1062</v>
      </c>
    </row>
    <row r="656" spans="1:14">
      <c r="A656">
        <v>66</v>
      </c>
      <c r="B656">
        <v>46199</v>
      </c>
      <c r="C656" t="s">
        <v>19</v>
      </c>
      <c r="D656" t="s">
        <v>51</v>
      </c>
      <c r="E656">
        <v>5</v>
      </c>
      <c r="F656">
        <v>45979</v>
      </c>
      <c r="G656" t="s">
        <v>51</v>
      </c>
      <c r="H656" t="s">
        <v>193</v>
      </c>
      <c r="I656">
        <v>1</v>
      </c>
      <c r="J656">
        <v>5</v>
      </c>
      <c r="K656" t="s">
        <v>69</v>
      </c>
      <c r="L656">
        <v>0</v>
      </c>
      <c r="M656" t="s">
        <v>172</v>
      </c>
      <c r="N656">
        <v>904</v>
      </c>
    </row>
    <row r="657" spans="1:14">
      <c r="A657">
        <v>66</v>
      </c>
      <c r="B657">
        <v>46199</v>
      </c>
      <c r="C657" t="s">
        <v>24</v>
      </c>
      <c r="D657" t="s">
        <v>52</v>
      </c>
      <c r="E657">
        <v>1</v>
      </c>
      <c r="F657">
        <v>46194</v>
      </c>
      <c r="G657" t="s">
        <v>52</v>
      </c>
      <c r="H657" t="s">
        <v>50</v>
      </c>
      <c r="I657">
        <v>4</v>
      </c>
      <c r="J657">
        <v>0</v>
      </c>
      <c r="K657" t="s">
        <v>171</v>
      </c>
      <c r="L657">
        <v>1</v>
      </c>
      <c r="M657" t="s">
        <v>242</v>
      </c>
      <c r="N657">
        <v>1373</v>
      </c>
    </row>
    <row r="658" spans="1:14">
      <c r="A658">
        <v>66</v>
      </c>
      <c r="B658">
        <v>46199</v>
      </c>
      <c r="C658" t="s">
        <v>24</v>
      </c>
      <c r="D658" t="s">
        <v>52</v>
      </c>
      <c r="E658">
        <v>2</v>
      </c>
      <c r="F658">
        <v>46188</v>
      </c>
      <c r="G658" t="s">
        <v>52</v>
      </c>
      <c r="H658" t="s">
        <v>217</v>
      </c>
      <c r="I658">
        <v>0</v>
      </c>
      <c r="J658">
        <v>0</v>
      </c>
      <c r="K658" t="s">
        <v>27</v>
      </c>
      <c r="L658">
        <v>0</v>
      </c>
      <c r="M658" t="s">
        <v>242</v>
      </c>
      <c r="N658">
        <v>1349</v>
      </c>
    </row>
    <row r="659" spans="1:14">
      <c r="A659">
        <v>66</v>
      </c>
      <c r="B659">
        <v>46199</v>
      </c>
      <c r="C659" t="s">
        <v>24</v>
      </c>
      <c r="D659" t="s">
        <v>52</v>
      </c>
      <c r="E659">
        <v>3</v>
      </c>
      <c r="F659">
        <v>46181</v>
      </c>
      <c r="G659" t="s">
        <v>52</v>
      </c>
      <c r="H659" t="s">
        <v>195</v>
      </c>
      <c r="I659">
        <v>3</v>
      </c>
      <c r="J659">
        <v>1</v>
      </c>
      <c r="K659" t="s">
        <v>171</v>
      </c>
      <c r="L659">
        <v>1</v>
      </c>
      <c r="M659" t="s">
        <v>172</v>
      </c>
      <c r="N659">
        <v>1307</v>
      </c>
    </row>
    <row r="660" spans="1:14">
      <c r="A660">
        <v>66</v>
      </c>
      <c r="B660">
        <v>46199</v>
      </c>
      <c r="C660" t="s">
        <v>24</v>
      </c>
      <c r="D660" t="s">
        <v>52</v>
      </c>
      <c r="E660">
        <v>4</v>
      </c>
      <c r="F660">
        <v>46177</v>
      </c>
      <c r="G660" t="s">
        <v>52</v>
      </c>
      <c r="H660" t="s">
        <v>62</v>
      </c>
      <c r="I660">
        <v>1</v>
      </c>
      <c r="J660">
        <v>1</v>
      </c>
      <c r="K660" t="s">
        <v>27</v>
      </c>
      <c r="L660">
        <v>0</v>
      </c>
      <c r="M660" t="s">
        <v>172</v>
      </c>
      <c r="N660">
        <v>1245</v>
      </c>
    </row>
    <row r="661" spans="1:14">
      <c r="A661">
        <v>66</v>
      </c>
      <c r="B661">
        <v>46199</v>
      </c>
      <c r="C661" t="s">
        <v>24</v>
      </c>
      <c r="D661" t="s">
        <v>52</v>
      </c>
      <c r="E661">
        <v>5</v>
      </c>
      <c r="F661">
        <v>46112</v>
      </c>
      <c r="G661" t="s">
        <v>52</v>
      </c>
      <c r="H661" t="s">
        <v>58</v>
      </c>
      <c r="I661">
        <v>0</v>
      </c>
      <c r="J661">
        <v>0</v>
      </c>
      <c r="K661" t="s">
        <v>27</v>
      </c>
      <c r="L661">
        <v>0</v>
      </c>
      <c r="M661" t="s">
        <v>172</v>
      </c>
      <c r="N661">
        <v>1164</v>
      </c>
    </row>
    <row r="662" spans="1:14">
      <c r="A662">
        <v>67</v>
      </c>
      <c r="B662">
        <v>46200</v>
      </c>
      <c r="C662" t="s">
        <v>19</v>
      </c>
      <c r="D662" t="s">
        <v>71</v>
      </c>
      <c r="E662">
        <v>1</v>
      </c>
      <c r="F662">
        <v>46196</v>
      </c>
      <c r="G662" t="s">
        <v>71</v>
      </c>
      <c r="H662" t="s">
        <v>73</v>
      </c>
      <c r="I662">
        <v>0</v>
      </c>
      <c r="J662">
        <v>1</v>
      </c>
      <c r="K662" t="s">
        <v>69</v>
      </c>
      <c r="L662">
        <v>0</v>
      </c>
      <c r="M662" t="s">
        <v>242</v>
      </c>
      <c r="N662">
        <v>1382</v>
      </c>
    </row>
    <row r="663" spans="1:14">
      <c r="A663">
        <v>67</v>
      </c>
      <c r="B663">
        <v>46200</v>
      </c>
      <c r="C663" t="s">
        <v>19</v>
      </c>
      <c r="D663" t="s">
        <v>71</v>
      </c>
      <c r="E663">
        <v>2</v>
      </c>
      <c r="F663">
        <v>46190</v>
      </c>
      <c r="G663" t="s">
        <v>71</v>
      </c>
      <c r="H663" t="s">
        <v>70</v>
      </c>
      <c r="I663">
        <v>0</v>
      </c>
      <c r="J663">
        <v>1</v>
      </c>
      <c r="K663" t="s">
        <v>69</v>
      </c>
      <c r="L663">
        <v>0</v>
      </c>
      <c r="M663" t="s">
        <v>242</v>
      </c>
      <c r="N663">
        <v>1358</v>
      </c>
    </row>
    <row r="664" spans="1:14">
      <c r="A664">
        <v>67</v>
      </c>
      <c r="B664">
        <v>46200</v>
      </c>
      <c r="C664" t="s">
        <v>19</v>
      </c>
      <c r="D664" t="s">
        <v>71</v>
      </c>
      <c r="E664">
        <v>3</v>
      </c>
      <c r="F664">
        <v>46179</v>
      </c>
      <c r="G664" t="s">
        <v>71</v>
      </c>
      <c r="H664" t="s">
        <v>26</v>
      </c>
      <c r="I664">
        <v>1</v>
      </c>
      <c r="J664">
        <v>1</v>
      </c>
      <c r="K664" t="s">
        <v>27</v>
      </c>
      <c r="L664">
        <v>0</v>
      </c>
      <c r="M664" t="s">
        <v>172</v>
      </c>
      <c r="N664">
        <v>1285</v>
      </c>
    </row>
    <row r="665" spans="1:14">
      <c r="A665">
        <v>67</v>
      </c>
      <c r="B665">
        <v>46200</v>
      </c>
      <c r="C665" t="s">
        <v>19</v>
      </c>
      <c r="D665" t="s">
        <v>71</v>
      </c>
      <c r="E665">
        <v>4</v>
      </c>
      <c r="F665">
        <v>46176</v>
      </c>
      <c r="G665" t="s">
        <v>71</v>
      </c>
      <c r="H665" t="s">
        <v>236</v>
      </c>
      <c r="I665">
        <v>4</v>
      </c>
      <c r="J665">
        <v>2</v>
      </c>
      <c r="K665" t="s">
        <v>171</v>
      </c>
      <c r="L665">
        <v>1</v>
      </c>
      <c r="M665" t="s">
        <v>172</v>
      </c>
      <c r="N665">
        <v>1230</v>
      </c>
    </row>
    <row r="666" spans="1:14">
      <c r="A666">
        <v>67</v>
      </c>
      <c r="B666">
        <v>46200</v>
      </c>
      <c r="C666" t="s">
        <v>19</v>
      </c>
      <c r="D666" t="s">
        <v>71</v>
      </c>
      <c r="E666">
        <v>5</v>
      </c>
      <c r="F666">
        <v>46173</v>
      </c>
      <c r="G666" t="s">
        <v>71</v>
      </c>
      <c r="H666" t="s">
        <v>35</v>
      </c>
      <c r="I666">
        <v>2</v>
      </c>
      <c r="J666">
        <v>6</v>
      </c>
      <c r="K666" t="s">
        <v>69</v>
      </c>
      <c r="L666">
        <v>0</v>
      </c>
      <c r="M666" t="s">
        <v>172</v>
      </c>
      <c r="N666">
        <v>1198</v>
      </c>
    </row>
    <row r="667" spans="1:14">
      <c r="A667">
        <v>67</v>
      </c>
      <c r="B667">
        <v>46200</v>
      </c>
      <c r="C667" t="s">
        <v>24</v>
      </c>
      <c r="D667" t="s">
        <v>72</v>
      </c>
      <c r="E667">
        <v>1</v>
      </c>
      <c r="F667">
        <v>46196</v>
      </c>
      <c r="G667" t="s">
        <v>72</v>
      </c>
      <c r="H667" t="s">
        <v>70</v>
      </c>
      <c r="I667">
        <v>0</v>
      </c>
      <c r="J667">
        <v>0</v>
      </c>
      <c r="K667" t="s">
        <v>27</v>
      </c>
      <c r="L667">
        <v>0</v>
      </c>
      <c r="M667" t="s">
        <v>242</v>
      </c>
      <c r="N667">
        <v>1381</v>
      </c>
    </row>
    <row r="668" spans="1:14">
      <c r="A668">
        <v>67</v>
      </c>
      <c r="B668">
        <v>46200</v>
      </c>
      <c r="C668" t="s">
        <v>24</v>
      </c>
      <c r="D668" t="s">
        <v>72</v>
      </c>
      <c r="E668">
        <v>2</v>
      </c>
      <c r="F668">
        <v>46190</v>
      </c>
      <c r="G668" t="s">
        <v>72</v>
      </c>
      <c r="H668" t="s">
        <v>73</v>
      </c>
      <c r="I668">
        <v>4</v>
      </c>
      <c r="J668">
        <v>2</v>
      </c>
      <c r="K668" t="s">
        <v>171</v>
      </c>
      <c r="L668">
        <v>1</v>
      </c>
      <c r="M668" t="s">
        <v>242</v>
      </c>
      <c r="N668">
        <v>1357</v>
      </c>
    </row>
    <row r="669" spans="1:14">
      <c r="A669">
        <v>67</v>
      </c>
      <c r="B669">
        <v>46200</v>
      </c>
      <c r="C669" t="s">
        <v>24</v>
      </c>
      <c r="D669" t="s">
        <v>72</v>
      </c>
      <c r="E669">
        <v>3</v>
      </c>
      <c r="F669">
        <v>46183</v>
      </c>
      <c r="G669" t="s">
        <v>72</v>
      </c>
      <c r="H669" t="s">
        <v>223</v>
      </c>
      <c r="I669">
        <v>3</v>
      </c>
      <c r="J669">
        <v>0</v>
      </c>
      <c r="K669" t="s">
        <v>171</v>
      </c>
      <c r="L669">
        <v>1</v>
      </c>
      <c r="M669" t="s">
        <v>172</v>
      </c>
      <c r="N669">
        <v>1332</v>
      </c>
    </row>
    <row r="670" spans="1:14">
      <c r="A670">
        <v>67</v>
      </c>
      <c r="B670">
        <v>46200</v>
      </c>
      <c r="C670" t="s">
        <v>24</v>
      </c>
      <c r="D670" t="s">
        <v>72</v>
      </c>
      <c r="E670">
        <v>4</v>
      </c>
      <c r="F670">
        <v>46179</v>
      </c>
      <c r="G670" t="s">
        <v>72</v>
      </c>
      <c r="H670" t="s">
        <v>56</v>
      </c>
      <c r="I670">
        <v>1</v>
      </c>
      <c r="J670">
        <v>0</v>
      </c>
      <c r="K670" t="s">
        <v>171</v>
      </c>
      <c r="L670">
        <v>1</v>
      </c>
      <c r="M670" t="s">
        <v>172</v>
      </c>
      <c r="N670">
        <v>1280</v>
      </c>
    </row>
    <row r="671" spans="1:14">
      <c r="A671">
        <v>67</v>
      </c>
      <c r="B671">
        <v>46200</v>
      </c>
      <c r="C671" t="s">
        <v>24</v>
      </c>
      <c r="D671" t="s">
        <v>72</v>
      </c>
      <c r="E671">
        <v>5</v>
      </c>
      <c r="F671">
        <v>46112</v>
      </c>
      <c r="G671" t="s">
        <v>72</v>
      </c>
      <c r="H671" t="s">
        <v>46</v>
      </c>
      <c r="I671">
        <v>0</v>
      </c>
      <c r="J671">
        <v>1</v>
      </c>
      <c r="K671" t="s">
        <v>69</v>
      </c>
      <c r="L671">
        <v>0</v>
      </c>
      <c r="M671" t="s">
        <v>172</v>
      </c>
      <c r="N671">
        <v>1142</v>
      </c>
    </row>
    <row r="672" spans="1:14">
      <c r="A672">
        <v>68</v>
      </c>
      <c r="B672">
        <v>46200</v>
      </c>
      <c r="C672" t="s">
        <v>19</v>
      </c>
      <c r="D672" t="s">
        <v>73</v>
      </c>
      <c r="E672">
        <v>1</v>
      </c>
      <c r="F672">
        <v>46196</v>
      </c>
      <c r="G672" t="s">
        <v>73</v>
      </c>
      <c r="H672" t="s">
        <v>71</v>
      </c>
      <c r="I672">
        <v>1</v>
      </c>
      <c r="J672">
        <v>0</v>
      </c>
      <c r="K672" t="s">
        <v>171</v>
      </c>
      <c r="L672">
        <v>1</v>
      </c>
      <c r="M672" t="s">
        <v>242</v>
      </c>
      <c r="N672">
        <v>1382</v>
      </c>
    </row>
    <row r="673" spans="1:14">
      <c r="A673">
        <v>68</v>
      </c>
      <c r="B673">
        <v>46200</v>
      </c>
      <c r="C673" t="s">
        <v>19</v>
      </c>
      <c r="D673" t="s">
        <v>73</v>
      </c>
      <c r="E673">
        <v>2</v>
      </c>
      <c r="F673">
        <v>46190</v>
      </c>
      <c r="G673" t="s">
        <v>73</v>
      </c>
      <c r="H673" t="s">
        <v>72</v>
      </c>
      <c r="I673">
        <v>2</v>
      </c>
      <c r="J673">
        <v>4</v>
      </c>
      <c r="K673" t="s">
        <v>69</v>
      </c>
      <c r="L673">
        <v>0</v>
      </c>
      <c r="M673" t="s">
        <v>242</v>
      </c>
      <c r="N673">
        <v>1357</v>
      </c>
    </row>
    <row r="674" spans="1:14">
      <c r="A674">
        <v>68</v>
      </c>
      <c r="B674">
        <v>46200</v>
      </c>
      <c r="C674" t="s">
        <v>19</v>
      </c>
      <c r="D674" t="s">
        <v>73</v>
      </c>
      <c r="E674">
        <v>3</v>
      </c>
      <c r="F674">
        <v>46180</v>
      </c>
      <c r="G674" t="s">
        <v>73</v>
      </c>
      <c r="H674" t="s">
        <v>214</v>
      </c>
      <c r="I674">
        <v>2</v>
      </c>
      <c r="J674">
        <v>1</v>
      </c>
      <c r="K674" t="s">
        <v>171</v>
      </c>
      <c r="L674">
        <v>1</v>
      </c>
      <c r="M674" t="s">
        <v>172</v>
      </c>
      <c r="N674">
        <v>1297</v>
      </c>
    </row>
    <row r="675" spans="1:14">
      <c r="A675">
        <v>68</v>
      </c>
      <c r="B675">
        <v>46200</v>
      </c>
      <c r="C675" t="s">
        <v>19</v>
      </c>
      <c r="D675" t="s">
        <v>73</v>
      </c>
      <c r="E675">
        <v>4</v>
      </c>
      <c r="F675">
        <v>46175</v>
      </c>
      <c r="G675" t="s">
        <v>73</v>
      </c>
      <c r="H675" t="s">
        <v>57</v>
      </c>
      <c r="I675">
        <v>0</v>
      </c>
      <c r="J675">
        <v>2</v>
      </c>
      <c r="K675" t="s">
        <v>69</v>
      </c>
      <c r="L675">
        <v>0</v>
      </c>
      <c r="M675" t="s">
        <v>172</v>
      </c>
      <c r="N675">
        <v>1215</v>
      </c>
    </row>
    <row r="676" spans="1:14">
      <c r="A676">
        <v>68</v>
      </c>
      <c r="B676">
        <v>46200</v>
      </c>
      <c r="C676" t="s">
        <v>19</v>
      </c>
      <c r="D676" t="s">
        <v>73</v>
      </c>
      <c r="E676">
        <v>5</v>
      </c>
      <c r="F676">
        <v>46112</v>
      </c>
      <c r="G676" t="s">
        <v>73</v>
      </c>
      <c r="H676" t="s">
        <v>35</v>
      </c>
      <c r="I676">
        <v>1</v>
      </c>
      <c r="J676">
        <v>3</v>
      </c>
      <c r="K676" t="s">
        <v>69</v>
      </c>
      <c r="L676">
        <v>0</v>
      </c>
      <c r="M676" t="s">
        <v>172</v>
      </c>
      <c r="N676">
        <v>1138</v>
      </c>
    </row>
    <row r="677" spans="1:14">
      <c r="A677">
        <v>68</v>
      </c>
      <c r="B677">
        <v>46200</v>
      </c>
      <c r="C677" t="s">
        <v>24</v>
      </c>
      <c r="D677" t="s">
        <v>70</v>
      </c>
      <c r="E677">
        <v>1</v>
      </c>
      <c r="F677">
        <v>46196</v>
      </c>
      <c r="G677" t="s">
        <v>70</v>
      </c>
      <c r="H677" t="s">
        <v>72</v>
      </c>
      <c r="I677">
        <v>0</v>
      </c>
      <c r="J677">
        <v>0</v>
      </c>
      <c r="K677" t="s">
        <v>27</v>
      </c>
      <c r="L677">
        <v>0</v>
      </c>
      <c r="M677" t="s">
        <v>242</v>
      </c>
      <c r="N677">
        <v>1381</v>
      </c>
    </row>
    <row r="678" spans="1:14">
      <c r="A678">
        <v>68</v>
      </c>
      <c r="B678">
        <v>46200</v>
      </c>
      <c r="C678" t="s">
        <v>24</v>
      </c>
      <c r="D678" t="s">
        <v>70</v>
      </c>
      <c r="E678">
        <v>2</v>
      </c>
      <c r="F678">
        <v>46190</v>
      </c>
      <c r="G678" t="s">
        <v>70</v>
      </c>
      <c r="H678" t="s">
        <v>71</v>
      </c>
      <c r="I678">
        <v>1</v>
      </c>
      <c r="J678">
        <v>0</v>
      </c>
      <c r="K678" t="s">
        <v>171</v>
      </c>
      <c r="L678">
        <v>1</v>
      </c>
      <c r="M678" t="s">
        <v>242</v>
      </c>
      <c r="N678">
        <v>1358</v>
      </c>
    </row>
    <row r="679" spans="1:14">
      <c r="A679">
        <v>68</v>
      </c>
      <c r="B679">
        <v>46200</v>
      </c>
      <c r="C679" t="s">
        <v>24</v>
      </c>
      <c r="D679" t="s">
        <v>70</v>
      </c>
      <c r="E679">
        <v>3</v>
      </c>
      <c r="F679">
        <v>46175</v>
      </c>
      <c r="G679" t="s">
        <v>70</v>
      </c>
      <c r="H679" t="s">
        <v>192</v>
      </c>
      <c r="I679">
        <v>1</v>
      </c>
      <c r="J679">
        <v>1</v>
      </c>
      <c r="K679" t="s">
        <v>27</v>
      </c>
      <c r="L679">
        <v>0</v>
      </c>
      <c r="M679" t="s">
        <v>172</v>
      </c>
      <c r="N679">
        <v>1219</v>
      </c>
    </row>
    <row r="680" spans="1:14">
      <c r="A680">
        <v>68</v>
      </c>
      <c r="B680">
        <v>46200</v>
      </c>
      <c r="C680" t="s">
        <v>24</v>
      </c>
      <c r="D680" t="s">
        <v>70</v>
      </c>
      <c r="E680">
        <v>4</v>
      </c>
      <c r="F680">
        <v>46164</v>
      </c>
      <c r="G680" t="s">
        <v>70</v>
      </c>
      <c r="H680" t="s">
        <v>20</v>
      </c>
      <c r="I680">
        <v>0</v>
      </c>
      <c r="J680">
        <v>2</v>
      </c>
      <c r="K680" t="s">
        <v>69</v>
      </c>
      <c r="L680">
        <v>0</v>
      </c>
      <c r="M680" t="s">
        <v>172</v>
      </c>
      <c r="N680">
        <v>1182</v>
      </c>
    </row>
    <row r="681" spans="1:14">
      <c r="A681">
        <v>68</v>
      </c>
      <c r="B681">
        <v>46200</v>
      </c>
      <c r="C681" t="s">
        <v>24</v>
      </c>
      <c r="D681" t="s">
        <v>70</v>
      </c>
      <c r="E681">
        <v>5</v>
      </c>
      <c r="F681">
        <v>46111</v>
      </c>
      <c r="G681" t="s">
        <v>70</v>
      </c>
      <c r="H681" t="s">
        <v>42</v>
      </c>
      <c r="I681">
        <v>1</v>
      </c>
      <c r="J681">
        <v>2</v>
      </c>
      <c r="K681" t="s">
        <v>69</v>
      </c>
      <c r="L681">
        <v>0</v>
      </c>
      <c r="M681" t="s">
        <v>172</v>
      </c>
      <c r="N681">
        <v>1122</v>
      </c>
    </row>
    <row r="682" spans="1:14">
      <c r="A682">
        <v>69</v>
      </c>
      <c r="B682">
        <v>46200</v>
      </c>
      <c r="C682" t="s">
        <v>19</v>
      </c>
      <c r="D682" t="s">
        <v>66</v>
      </c>
      <c r="E682">
        <v>1</v>
      </c>
      <c r="F682">
        <v>46195</v>
      </c>
      <c r="G682" t="s">
        <v>66</v>
      </c>
      <c r="H682" t="s">
        <v>68</v>
      </c>
      <c r="I682">
        <v>2</v>
      </c>
      <c r="J682">
        <v>1</v>
      </c>
      <c r="K682" t="s">
        <v>171</v>
      </c>
      <c r="L682">
        <v>1</v>
      </c>
      <c r="M682" t="s">
        <v>242</v>
      </c>
      <c r="N682">
        <v>1378</v>
      </c>
    </row>
    <row r="683" spans="1:14">
      <c r="A683">
        <v>69</v>
      </c>
      <c r="B683">
        <v>46200</v>
      </c>
      <c r="C683" t="s">
        <v>19</v>
      </c>
      <c r="D683" t="s">
        <v>66</v>
      </c>
      <c r="E683">
        <v>2</v>
      </c>
      <c r="F683">
        <v>46189</v>
      </c>
      <c r="G683" t="s">
        <v>66</v>
      </c>
      <c r="H683" t="s">
        <v>65</v>
      </c>
      <c r="I683">
        <v>0</v>
      </c>
      <c r="J683">
        <v>3</v>
      </c>
      <c r="K683" t="s">
        <v>69</v>
      </c>
      <c r="L683">
        <v>0</v>
      </c>
      <c r="M683" t="s">
        <v>242</v>
      </c>
      <c r="N683">
        <v>1353</v>
      </c>
    </row>
    <row r="684" spans="1:14">
      <c r="A684">
        <v>69</v>
      </c>
      <c r="B684">
        <v>46200</v>
      </c>
      <c r="C684" t="s">
        <v>19</v>
      </c>
      <c r="D684" t="s">
        <v>66</v>
      </c>
      <c r="E684">
        <v>3</v>
      </c>
      <c r="F684">
        <v>46183</v>
      </c>
      <c r="G684" t="s">
        <v>66</v>
      </c>
      <c r="H684" t="s">
        <v>196</v>
      </c>
      <c r="I684">
        <v>4</v>
      </c>
      <c r="J684">
        <v>0</v>
      </c>
      <c r="K684" t="s">
        <v>171</v>
      </c>
      <c r="L684">
        <v>1</v>
      </c>
      <c r="M684" t="s">
        <v>172</v>
      </c>
      <c r="N684">
        <v>1331</v>
      </c>
    </row>
    <row r="685" spans="1:14">
      <c r="A685">
        <v>69</v>
      </c>
      <c r="B685">
        <v>46200</v>
      </c>
      <c r="C685" t="s">
        <v>19</v>
      </c>
      <c r="D685" t="s">
        <v>66</v>
      </c>
      <c r="E685">
        <v>4</v>
      </c>
      <c r="F685">
        <v>46176</v>
      </c>
      <c r="G685" t="s">
        <v>66</v>
      </c>
      <c r="H685" t="s">
        <v>45</v>
      </c>
      <c r="I685">
        <v>1</v>
      </c>
      <c r="J685">
        <v>0</v>
      </c>
      <c r="K685" t="s">
        <v>171</v>
      </c>
      <c r="L685">
        <v>1</v>
      </c>
      <c r="M685" t="s">
        <v>172</v>
      </c>
      <c r="N685">
        <v>1229</v>
      </c>
    </row>
    <row r="686" spans="1:14">
      <c r="A686">
        <v>69</v>
      </c>
      <c r="B686">
        <v>46200</v>
      </c>
      <c r="C686" t="s">
        <v>19</v>
      </c>
      <c r="D686" t="s">
        <v>66</v>
      </c>
      <c r="E686">
        <v>5</v>
      </c>
      <c r="F686">
        <v>46112</v>
      </c>
      <c r="G686" t="s">
        <v>66</v>
      </c>
      <c r="H686" t="s">
        <v>51</v>
      </c>
      <c r="I686">
        <v>0</v>
      </c>
      <c r="J686">
        <v>0</v>
      </c>
      <c r="K686" t="s">
        <v>27</v>
      </c>
      <c r="L686">
        <v>0</v>
      </c>
      <c r="M686" t="s">
        <v>172</v>
      </c>
      <c r="N686">
        <v>1134</v>
      </c>
    </row>
    <row r="687" spans="1:14">
      <c r="A687">
        <v>69</v>
      </c>
      <c r="B687">
        <v>46200</v>
      </c>
      <c r="C687" t="s">
        <v>24</v>
      </c>
      <c r="D687" t="s">
        <v>67</v>
      </c>
      <c r="E687">
        <v>1</v>
      </c>
      <c r="F687">
        <v>46195</v>
      </c>
      <c r="G687" t="s">
        <v>67</v>
      </c>
      <c r="H687" t="s">
        <v>65</v>
      </c>
      <c r="I687">
        <v>0</v>
      </c>
      <c r="J687">
        <v>2</v>
      </c>
      <c r="K687" t="s">
        <v>69</v>
      </c>
      <c r="L687">
        <v>0</v>
      </c>
      <c r="M687" t="s">
        <v>242</v>
      </c>
      <c r="N687">
        <v>1377</v>
      </c>
    </row>
    <row r="688" spans="1:14">
      <c r="A688">
        <v>69</v>
      </c>
      <c r="B688">
        <v>46200</v>
      </c>
      <c r="C688" t="s">
        <v>24</v>
      </c>
      <c r="D688" t="s">
        <v>67</v>
      </c>
      <c r="E688">
        <v>2</v>
      </c>
      <c r="F688">
        <v>46189</v>
      </c>
      <c r="G688" t="s">
        <v>67</v>
      </c>
      <c r="H688" t="s">
        <v>68</v>
      </c>
      <c r="I688">
        <v>3</v>
      </c>
      <c r="J688">
        <v>1</v>
      </c>
      <c r="K688" t="s">
        <v>171</v>
      </c>
      <c r="L688">
        <v>1</v>
      </c>
      <c r="M688" t="s">
        <v>242</v>
      </c>
      <c r="N688">
        <v>1354</v>
      </c>
    </row>
    <row r="689" spans="1:14">
      <c r="A689">
        <v>69</v>
      </c>
      <c r="B689">
        <v>46200</v>
      </c>
      <c r="C689" t="s">
        <v>24</v>
      </c>
      <c r="D689" t="s">
        <v>67</v>
      </c>
      <c r="E689">
        <v>3</v>
      </c>
      <c r="F689">
        <v>46174</v>
      </c>
      <c r="G689" t="s">
        <v>67</v>
      </c>
      <c r="H689" t="s">
        <v>48</v>
      </c>
      <c r="I689">
        <v>1</v>
      </c>
      <c r="J689">
        <v>0</v>
      </c>
      <c r="K689" t="s">
        <v>171</v>
      </c>
      <c r="L689">
        <v>1</v>
      </c>
      <c r="M689" t="s">
        <v>172</v>
      </c>
      <c r="N689">
        <v>1207</v>
      </c>
    </row>
    <row r="690" spans="1:14">
      <c r="A690">
        <v>69</v>
      </c>
      <c r="B690">
        <v>46200</v>
      </c>
      <c r="C690" t="s">
        <v>24</v>
      </c>
      <c r="D690" t="s">
        <v>67</v>
      </c>
      <c r="E690">
        <v>4</v>
      </c>
      <c r="F690">
        <v>46112</v>
      </c>
      <c r="G690" t="s">
        <v>67</v>
      </c>
      <c r="H690" t="s">
        <v>177</v>
      </c>
      <c r="I690">
        <v>1</v>
      </c>
      <c r="J690">
        <v>0</v>
      </c>
      <c r="K690" t="s">
        <v>171</v>
      </c>
      <c r="L690">
        <v>1</v>
      </c>
      <c r="M690" t="s">
        <v>172</v>
      </c>
      <c r="N690">
        <v>1136</v>
      </c>
    </row>
    <row r="691" spans="1:14">
      <c r="A691">
        <v>69</v>
      </c>
      <c r="B691">
        <v>46200</v>
      </c>
      <c r="C691" t="s">
        <v>24</v>
      </c>
      <c r="D691" t="s">
        <v>67</v>
      </c>
      <c r="E691">
        <v>5</v>
      </c>
      <c r="F691">
        <v>46108</v>
      </c>
      <c r="G691" t="s">
        <v>67</v>
      </c>
      <c r="H691" t="s">
        <v>70</v>
      </c>
      <c r="I691">
        <v>5</v>
      </c>
      <c r="J691">
        <v>1</v>
      </c>
      <c r="K691" t="s">
        <v>171</v>
      </c>
      <c r="L691">
        <v>1</v>
      </c>
      <c r="M691" t="s">
        <v>172</v>
      </c>
      <c r="N691">
        <v>1061</v>
      </c>
    </row>
    <row r="692" spans="1:14">
      <c r="A692">
        <v>70</v>
      </c>
      <c r="B692">
        <v>46200</v>
      </c>
      <c r="C692" t="s">
        <v>19</v>
      </c>
      <c r="D692" t="s">
        <v>68</v>
      </c>
      <c r="E692">
        <v>1</v>
      </c>
      <c r="F692">
        <v>46195</v>
      </c>
      <c r="G692" t="s">
        <v>68</v>
      </c>
      <c r="H692" t="s">
        <v>66</v>
      </c>
      <c r="I692">
        <v>1</v>
      </c>
      <c r="J692">
        <v>2</v>
      </c>
      <c r="K692" t="s">
        <v>69</v>
      </c>
      <c r="L692">
        <v>0</v>
      </c>
      <c r="M692" t="s">
        <v>242</v>
      </c>
      <c r="N692">
        <v>1378</v>
      </c>
    </row>
    <row r="693" spans="1:14">
      <c r="A693">
        <v>70</v>
      </c>
      <c r="B693">
        <v>46200</v>
      </c>
      <c r="C693" t="s">
        <v>19</v>
      </c>
      <c r="D693" t="s">
        <v>68</v>
      </c>
      <c r="E693">
        <v>2</v>
      </c>
      <c r="F693">
        <v>46189</v>
      </c>
      <c r="G693" t="s">
        <v>68</v>
      </c>
      <c r="H693" t="s">
        <v>67</v>
      </c>
      <c r="I693">
        <v>1</v>
      </c>
      <c r="J693">
        <v>3</v>
      </c>
      <c r="K693" t="s">
        <v>69</v>
      </c>
      <c r="L693">
        <v>0</v>
      </c>
      <c r="M693" t="s">
        <v>242</v>
      </c>
      <c r="N693">
        <v>1354</v>
      </c>
    </row>
    <row r="694" spans="1:14">
      <c r="A694">
        <v>70</v>
      </c>
      <c r="B694">
        <v>46200</v>
      </c>
      <c r="C694" t="s">
        <v>19</v>
      </c>
      <c r="D694" t="s">
        <v>68</v>
      </c>
      <c r="E694">
        <v>3</v>
      </c>
      <c r="F694">
        <v>46180</v>
      </c>
      <c r="G694" t="s">
        <v>68</v>
      </c>
      <c r="H694" t="s">
        <v>78</v>
      </c>
      <c r="I694">
        <v>0</v>
      </c>
      <c r="J694">
        <v>2</v>
      </c>
      <c r="K694" t="s">
        <v>69</v>
      </c>
      <c r="L694">
        <v>0</v>
      </c>
      <c r="M694" t="s">
        <v>172</v>
      </c>
      <c r="N694">
        <v>1300</v>
      </c>
    </row>
    <row r="695" spans="1:14">
      <c r="A695">
        <v>70</v>
      </c>
      <c r="B695">
        <v>46200</v>
      </c>
      <c r="C695" t="s">
        <v>19</v>
      </c>
      <c r="D695" t="s">
        <v>68</v>
      </c>
      <c r="E695">
        <v>4</v>
      </c>
      <c r="F695">
        <v>46173</v>
      </c>
      <c r="G695" t="s">
        <v>68</v>
      </c>
      <c r="H695" t="s">
        <v>38</v>
      </c>
      <c r="I695">
        <v>1</v>
      </c>
      <c r="J695">
        <v>4</v>
      </c>
      <c r="K695" t="s">
        <v>69</v>
      </c>
      <c r="L695">
        <v>0</v>
      </c>
      <c r="M695" t="s">
        <v>172</v>
      </c>
      <c r="N695">
        <v>1204</v>
      </c>
    </row>
    <row r="696" spans="1:14">
      <c r="A696">
        <v>70</v>
      </c>
      <c r="B696">
        <v>46200</v>
      </c>
      <c r="C696" t="s">
        <v>19</v>
      </c>
      <c r="D696" t="s">
        <v>68</v>
      </c>
      <c r="E696">
        <v>5</v>
      </c>
      <c r="F696">
        <v>46112</v>
      </c>
      <c r="G696" t="s">
        <v>68</v>
      </c>
      <c r="H696" t="s">
        <v>225</v>
      </c>
      <c r="I696">
        <v>2</v>
      </c>
      <c r="J696">
        <v>2</v>
      </c>
      <c r="K696" t="s">
        <v>27</v>
      </c>
      <c r="L696">
        <v>0</v>
      </c>
      <c r="M696" t="s">
        <v>224</v>
      </c>
      <c r="N696">
        <v>1147</v>
      </c>
    </row>
    <row r="697" spans="1:14">
      <c r="A697">
        <v>70</v>
      </c>
      <c r="B697">
        <v>46200</v>
      </c>
      <c r="C697" t="s">
        <v>24</v>
      </c>
      <c r="D697" t="s">
        <v>65</v>
      </c>
      <c r="E697">
        <v>1</v>
      </c>
      <c r="F697">
        <v>46195</v>
      </c>
      <c r="G697" t="s">
        <v>65</v>
      </c>
      <c r="H697" t="s">
        <v>67</v>
      </c>
      <c r="I697">
        <v>2</v>
      </c>
      <c r="J697">
        <v>0</v>
      </c>
      <c r="K697" t="s">
        <v>171</v>
      </c>
      <c r="L697">
        <v>1</v>
      </c>
      <c r="M697" t="s">
        <v>242</v>
      </c>
      <c r="N697">
        <v>1377</v>
      </c>
    </row>
    <row r="698" spans="1:14">
      <c r="A698">
        <v>70</v>
      </c>
      <c r="B698">
        <v>46200</v>
      </c>
      <c r="C698" t="s">
        <v>24</v>
      </c>
      <c r="D698" t="s">
        <v>65</v>
      </c>
      <c r="E698">
        <v>2</v>
      </c>
      <c r="F698">
        <v>46189</v>
      </c>
      <c r="G698" t="s">
        <v>65</v>
      </c>
      <c r="H698" t="s">
        <v>66</v>
      </c>
      <c r="I698">
        <v>3</v>
      </c>
      <c r="J698">
        <v>0</v>
      </c>
      <c r="K698" t="s">
        <v>171</v>
      </c>
      <c r="L698">
        <v>1</v>
      </c>
      <c r="M698" t="s">
        <v>242</v>
      </c>
      <c r="N698">
        <v>1353</v>
      </c>
    </row>
    <row r="699" spans="1:14">
      <c r="A699">
        <v>70</v>
      </c>
      <c r="B699">
        <v>46200</v>
      </c>
      <c r="C699" t="s">
        <v>24</v>
      </c>
      <c r="D699" t="s">
        <v>65</v>
      </c>
      <c r="E699">
        <v>3</v>
      </c>
      <c r="F699">
        <v>46182</v>
      </c>
      <c r="G699" t="s">
        <v>65</v>
      </c>
      <c r="H699" t="s">
        <v>188</v>
      </c>
      <c r="I699">
        <v>3</v>
      </c>
      <c r="J699">
        <v>0</v>
      </c>
      <c r="K699" t="s">
        <v>171</v>
      </c>
      <c r="L699">
        <v>1</v>
      </c>
      <c r="M699" t="s">
        <v>172</v>
      </c>
      <c r="N699">
        <v>1310</v>
      </c>
    </row>
    <row r="700" spans="1:14">
      <c r="A700">
        <v>70</v>
      </c>
      <c r="B700">
        <v>46200</v>
      </c>
      <c r="C700" t="s">
        <v>24</v>
      </c>
      <c r="D700" t="s">
        <v>65</v>
      </c>
      <c r="E700">
        <v>4</v>
      </c>
      <c r="F700">
        <v>46179</v>
      </c>
      <c r="G700" t="s">
        <v>65</v>
      </c>
      <c r="H700" t="s">
        <v>231</v>
      </c>
      <c r="I700">
        <v>2</v>
      </c>
      <c r="J700">
        <v>0</v>
      </c>
      <c r="K700" t="s">
        <v>171</v>
      </c>
      <c r="L700">
        <v>1</v>
      </c>
      <c r="M700" t="s">
        <v>172</v>
      </c>
      <c r="N700">
        <v>1272</v>
      </c>
    </row>
    <row r="701" spans="1:14">
      <c r="A701">
        <v>70</v>
      </c>
      <c r="B701">
        <v>46200</v>
      </c>
      <c r="C701" t="s">
        <v>24</v>
      </c>
      <c r="D701" t="s">
        <v>65</v>
      </c>
      <c r="E701">
        <v>5</v>
      </c>
      <c r="F701">
        <v>46112</v>
      </c>
      <c r="G701" t="s">
        <v>65</v>
      </c>
      <c r="H701" t="s">
        <v>232</v>
      </c>
      <c r="I701">
        <v>5</v>
      </c>
      <c r="J701">
        <v>0</v>
      </c>
      <c r="K701" t="s">
        <v>171</v>
      </c>
      <c r="L701">
        <v>1</v>
      </c>
      <c r="M701" t="s">
        <v>172</v>
      </c>
      <c r="N701">
        <v>1135</v>
      </c>
    </row>
    <row r="702" spans="1:14">
      <c r="A702">
        <v>71</v>
      </c>
      <c r="B702">
        <v>46200</v>
      </c>
      <c r="C702" t="s">
        <v>19</v>
      </c>
      <c r="D702" t="s">
        <v>78</v>
      </c>
      <c r="E702">
        <v>1</v>
      </c>
      <c r="F702">
        <v>46196</v>
      </c>
      <c r="G702" t="s">
        <v>78</v>
      </c>
      <c r="H702" t="s">
        <v>240</v>
      </c>
      <c r="I702">
        <v>1</v>
      </c>
      <c r="J702">
        <v>0</v>
      </c>
      <c r="K702" t="s">
        <v>171</v>
      </c>
      <c r="L702">
        <v>1</v>
      </c>
      <c r="M702" t="s">
        <v>242</v>
      </c>
      <c r="N702">
        <v>1380</v>
      </c>
    </row>
    <row r="703" spans="1:14">
      <c r="A703">
        <v>71</v>
      </c>
      <c r="B703">
        <v>46200</v>
      </c>
      <c r="C703" t="s">
        <v>19</v>
      </c>
      <c r="D703" t="s">
        <v>78</v>
      </c>
      <c r="E703">
        <v>2</v>
      </c>
      <c r="F703">
        <v>46190</v>
      </c>
      <c r="G703" t="s">
        <v>78</v>
      </c>
      <c r="H703" t="s">
        <v>77</v>
      </c>
      <c r="I703">
        <v>3</v>
      </c>
      <c r="J703">
        <v>1</v>
      </c>
      <c r="K703" t="s">
        <v>171</v>
      </c>
      <c r="L703">
        <v>1</v>
      </c>
      <c r="M703" t="s">
        <v>242</v>
      </c>
      <c r="N703">
        <v>1356</v>
      </c>
    </row>
    <row r="704" spans="1:14">
      <c r="A704">
        <v>71</v>
      </c>
      <c r="B704">
        <v>46200</v>
      </c>
      <c r="C704" t="s">
        <v>19</v>
      </c>
      <c r="D704" t="s">
        <v>78</v>
      </c>
      <c r="E704">
        <v>3</v>
      </c>
      <c r="F704">
        <v>46180</v>
      </c>
      <c r="G704" t="s">
        <v>78</v>
      </c>
      <c r="H704" t="s">
        <v>68</v>
      </c>
      <c r="I704">
        <v>2</v>
      </c>
      <c r="J704">
        <v>0</v>
      </c>
      <c r="K704" t="s">
        <v>171</v>
      </c>
      <c r="L704">
        <v>1</v>
      </c>
      <c r="M704" t="s">
        <v>172</v>
      </c>
      <c r="N704">
        <v>1300</v>
      </c>
    </row>
    <row r="705" spans="1:14">
      <c r="A705">
        <v>71</v>
      </c>
      <c r="B705">
        <v>46200</v>
      </c>
      <c r="C705" t="s">
        <v>19</v>
      </c>
      <c r="D705" t="s">
        <v>78</v>
      </c>
      <c r="E705">
        <v>4</v>
      </c>
      <c r="F705">
        <v>46174</v>
      </c>
      <c r="G705" t="s">
        <v>78</v>
      </c>
      <c r="H705" t="s">
        <v>223</v>
      </c>
      <c r="I705">
        <v>3</v>
      </c>
      <c r="J705">
        <v>1</v>
      </c>
      <c r="K705" t="s">
        <v>171</v>
      </c>
      <c r="L705">
        <v>1</v>
      </c>
      <c r="M705" t="s">
        <v>172</v>
      </c>
      <c r="N705">
        <v>1210</v>
      </c>
    </row>
    <row r="706" spans="1:14">
      <c r="A706">
        <v>71</v>
      </c>
      <c r="B706">
        <v>46200</v>
      </c>
      <c r="C706" t="s">
        <v>19</v>
      </c>
      <c r="D706" t="s">
        <v>78</v>
      </c>
      <c r="E706">
        <v>5</v>
      </c>
      <c r="F706">
        <v>46110</v>
      </c>
      <c r="G706" t="s">
        <v>78</v>
      </c>
      <c r="H706" t="s">
        <v>60</v>
      </c>
      <c r="I706">
        <v>1</v>
      </c>
      <c r="J706">
        <v>3</v>
      </c>
      <c r="K706" t="s">
        <v>69</v>
      </c>
      <c r="L706">
        <v>0</v>
      </c>
      <c r="M706" t="s">
        <v>172</v>
      </c>
      <c r="N706">
        <v>1109</v>
      </c>
    </row>
    <row r="707" spans="1:14">
      <c r="A707">
        <v>71</v>
      </c>
      <c r="B707">
        <v>46200</v>
      </c>
      <c r="C707" t="s">
        <v>24</v>
      </c>
      <c r="D707" t="s">
        <v>75</v>
      </c>
      <c r="E707">
        <v>1</v>
      </c>
      <c r="F707">
        <v>46196</v>
      </c>
      <c r="G707" t="s">
        <v>75</v>
      </c>
      <c r="H707" t="s">
        <v>77</v>
      </c>
      <c r="I707">
        <v>5</v>
      </c>
      <c r="J707">
        <v>0</v>
      </c>
      <c r="K707" t="s">
        <v>171</v>
      </c>
      <c r="L707">
        <v>1</v>
      </c>
      <c r="M707" t="s">
        <v>242</v>
      </c>
      <c r="N707">
        <v>1379</v>
      </c>
    </row>
    <row r="708" spans="1:14">
      <c r="A708">
        <v>71</v>
      </c>
      <c r="B708">
        <v>46200</v>
      </c>
      <c r="C708" t="s">
        <v>24</v>
      </c>
      <c r="D708" t="s">
        <v>75</v>
      </c>
      <c r="E708">
        <v>2</v>
      </c>
      <c r="F708">
        <v>46190</v>
      </c>
      <c r="G708" t="s">
        <v>75</v>
      </c>
      <c r="H708" t="s">
        <v>240</v>
      </c>
      <c r="I708">
        <v>1</v>
      </c>
      <c r="J708">
        <v>1</v>
      </c>
      <c r="K708" t="s">
        <v>27</v>
      </c>
      <c r="L708">
        <v>0</v>
      </c>
      <c r="M708" t="s">
        <v>242</v>
      </c>
      <c r="N708">
        <v>1355</v>
      </c>
    </row>
    <row r="709" spans="1:14">
      <c r="A709">
        <v>71</v>
      </c>
      <c r="B709">
        <v>46200</v>
      </c>
      <c r="C709" t="s">
        <v>24</v>
      </c>
      <c r="D709" t="s">
        <v>75</v>
      </c>
      <c r="E709">
        <v>3</v>
      </c>
      <c r="F709">
        <v>46183</v>
      </c>
      <c r="G709" t="s">
        <v>75</v>
      </c>
      <c r="H709" t="s">
        <v>225</v>
      </c>
      <c r="I709">
        <v>2</v>
      </c>
      <c r="J709">
        <v>1</v>
      </c>
      <c r="K709" t="s">
        <v>171</v>
      </c>
      <c r="L709">
        <v>1</v>
      </c>
      <c r="M709" t="s">
        <v>172</v>
      </c>
      <c r="N709">
        <v>1333</v>
      </c>
    </row>
    <row r="710" spans="1:14">
      <c r="A710">
        <v>71</v>
      </c>
      <c r="B710">
        <v>46200</v>
      </c>
      <c r="C710" t="s">
        <v>24</v>
      </c>
      <c r="D710" t="s">
        <v>75</v>
      </c>
      <c r="E710">
        <v>4</v>
      </c>
      <c r="F710">
        <v>46179</v>
      </c>
      <c r="G710" t="s">
        <v>75</v>
      </c>
      <c r="H710" t="s">
        <v>219</v>
      </c>
      <c r="I710">
        <v>2</v>
      </c>
      <c r="J710">
        <v>1</v>
      </c>
      <c r="K710" t="s">
        <v>171</v>
      </c>
      <c r="L710">
        <v>1</v>
      </c>
      <c r="M710" t="s">
        <v>172</v>
      </c>
      <c r="N710">
        <v>1286</v>
      </c>
    </row>
    <row r="711" spans="1:14">
      <c r="A711">
        <v>71</v>
      </c>
      <c r="B711">
        <v>46200</v>
      </c>
      <c r="C711" t="s">
        <v>24</v>
      </c>
      <c r="D711" t="s">
        <v>75</v>
      </c>
      <c r="E711">
        <v>5</v>
      </c>
      <c r="F711">
        <v>46112</v>
      </c>
      <c r="G711" t="s">
        <v>75</v>
      </c>
      <c r="H711" t="s">
        <v>193</v>
      </c>
      <c r="I711">
        <v>2</v>
      </c>
      <c r="J711">
        <v>0</v>
      </c>
      <c r="K711" t="s">
        <v>171</v>
      </c>
      <c r="L711">
        <v>1</v>
      </c>
      <c r="M711" t="s">
        <v>172</v>
      </c>
      <c r="N711">
        <v>1166</v>
      </c>
    </row>
    <row r="712" spans="1:14">
      <c r="A712">
        <v>72</v>
      </c>
      <c r="B712">
        <v>46200</v>
      </c>
      <c r="C712" t="s">
        <v>19</v>
      </c>
      <c r="D712" t="s">
        <v>76</v>
      </c>
      <c r="E712">
        <v>1</v>
      </c>
      <c r="F712">
        <v>46196</v>
      </c>
      <c r="G712" t="s">
        <v>240</v>
      </c>
      <c r="H712" t="s">
        <v>78</v>
      </c>
      <c r="I712">
        <v>0</v>
      </c>
      <c r="J712">
        <v>1</v>
      </c>
      <c r="K712" t="s">
        <v>69</v>
      </c>
      <c r="L712">
        <v>0</v>
      </c>
      <c r="M712" t="s">
        <v>242</v>
      </c>
      <c r="N712">
        <v>1380</v>
      </c>
    </row>
    <row r="713" spans="1:14">
      <c r="A713">
        <v>72</v>
      </c>
      <c r="B713">
        <v>46200</v>
      </c>
      <c r="C713" t="s">
        <v>19</v>
      </c>
      <c r="D713" t="s">
        <v>76</v>
      </c>
      <c r="E713">
        <v>2</v>
      </c>
      <c r="F713">
        <v>46190</v>
      </c>
      <c r="G713" t="s">
        <v>240</v>
      </c>
      <c r="H713" t="s">
        <v>75</v>
      </c>
      <c r="I713">
        <v>1</v>
      </c>
      <c r="J713">
        <v>1</v>
      </c>
      <c r="K713" t="s">
        <v>27</v>
      </c>
      <c r="L713">
        <v>0</v>
      </c>
      <c r="M713" t="s">
        <v>242</v>
      </c>
      <c r="N713">
        <v>1355</v>
      </c>
    </row>
    <row r="714" spans="1:14">
      <c r="A714">
        <v>72</v>
      </c>
      <c r="B714">
        <v>46200</v>
      </c>
      <c r="C714" t="s">
        <v>19</v>
      </c>
      <c r="D714" t="s">
        <v>76</v>
      </c>
      <c r="E714">
        <v>3</v>
      </c>
      <c r="F714">
        <v>46182</v>
      </c>
      <c r="G714" t="s">
        <v>240</v>
      </c>
      <c r="H714" t="s">
        <v>219</v>
      </c>
      <c r="I714">
        <v>1</v>
      </c>
      <c r="J714">
        <v>2</v>
      </c>
      <c r="K714" t="s">
        <v>69</v>
      </c>
      <c r="L714">
        <v>0</v>
      </c>
      <c r="M714" t="s">
        <v>172</v>
      </c>
      <c r="N714">
        <v>1316</v>
      </c>
    </row>
    <row r="715" spans="1:14">
      <c r="A715">
        <v>72</v>
      </c>
      <c r="B715">
        <v>46200</v>
      </c>
      <c r="C715" t="s">
        <v>19</v>
      </c>
      <c r="D715" t="s">
        <v>76</v>
      </c>
      <c r="E715">
        <v>4</v>
      </c>
      <c r="F715">
        <v>46176</v>
      </c>
      <c r="G715" t="s">
        <v>240</v>
      </c>
      <c r="H715" t="s">
        <v>184</v>
      </c>
      <c r="I715">
        <v>0</v>
      </c>
      <c r="J715">
        <v>0</v>
      </c>
      <c r="K715" t="s">
        <v>27</v>
      </c>
      <c r="L715">
        <v>0</v>
      </c>
      <c r="M715" t="s">
        <v>172</v>
      </c>
      <c r="N715">
        <v>1225</v>
      </c>
    </row>
    <row r="716" spans="1:14">
      <c r="A716">
        <v>72</v>
      </c>
      <c r="B716">
        <v>46200</v>
      </c>
      <c r="C716" t="s">
        <v>19</v>
      </c>
      <c r="D716" t="s">
        <v>76</v>
      </c>
      <c r="E716">
        <v>5</v>
      </c>
      <c r="F716">
        <v>46112</v>
      </c>
      <c r="G716" t="s">
        <v>240</v>
      </c>
      <c r="H716" t="s">
        <v>173</v>
      </c>
      <c r="I716">
        <v>1</v>
      </c>
      <c r="J716">
        <v>0</v>
      </c>
      <c r="K716" t="s">
        <v>171</v>
      </c>
      <c r="L716">
        <v>1</v>
      </c>
      <c r="M716" t="s">
        <v>185</v>
      </c>
      <c r="N716">
        <v>1168</v>
      </c>
    </row>
    <row r="717" spans="1:14">
      <c r="A717">
        <v>72</v>
      </c>
      <c r="B717">
        <v>46200</v>
      </c>
      <c r="C717" t="s">
        <v>24</v>
      </c>
      <c r="D717" t="s">
        <v>77</v>
      </c>
      <c r="E717">
        <v>1</v>
      </c>
      <c r="F717">
        <v>46196</v>
      </c>
      <c r="G717" t="s">
        <v>77</v>
      </c>
      <c r="H717" t="s">
        <v>75</v>
      </c>
      <c r="I717">
        <v>0</v>
      </c>
      <c r="J717">
        <v>5</v>
      </c>
      <c r="K717" t="s">
        <v>69</v>
      </c>
      <c r="L717">
        <v>0</v>
      </c>
      <c r="M717" t="s">
        <v>242</v>
      </c>
      <c r="N717">
        <v>1379</v>
      </c>
    </row>
    <row r="718" spans="1:14">
      <c r="A718">
        <v>72</v>
      </c>
      <c r="B718">
        <v>46200</v>
      </c>
      <c r="C718" t="s">
        <v>24</v>
      </c>
      <c r="D718" t="s">
        <v>77</v>
      </c>
      <c r="E718">
        <v>2</v>
      </c>
      <c r="F718">
        <v>46190</v>
      </c>
      <c r="G718" t="s">
        <v>77</v>
      </c>
      <c r="H718" t="s">
        <v>78</v>
      </c>
      <c r="I718">
        <v>1</v>
      </c>
      <c r="J718">
        <v>3</v>
      </c>
      <c r="K718" t="s">
        <v>69</v>
      </c>
      <c r="L718">
        <v>0</v>
      </c>
      <c r="M718" t="s">
        <v>242</v>
      </c>
      <c r="N718">
        <v>1356</v>
      </c>
    </row>
    <row r="719" spans="1:14">
      <c r="A719">
        <v>72</v>
      </c>
      <c r="B719">
        <v>46200</v>
      </c>
      <c r="C719" t="s">
        <v>24</v>
      </c>
      <c r="D719" t="s">
        <v>77</v>
      </c>
      <c r="E719">
        <v>3</v>
      </c>
      <c r="F719">
        <v>46181</v>
      </c>
      <c r="G719" t="s">
        <v>77</v>
      </c>
      <c r="H719" t="s">
        <v>45</v>
      </c>
      <c r="I719">
        <v>1</v>
      </c>
      <c r="J719">
        <v>2</v>
      </c>
      <c r="K719" t="s">
        <v>69</v>
      </c>
      <c r="L719">
        <v>0</v>
      </c>
      <c r="M719" t="s">
        <v>172</v>
      </c>
      <c r="N719">
        <v>1306</v>
      </c>
    </row>
    <row r="720" spans="1:14">
      <c r="A720">
        <v>72</v>
      </c>
      <c r="B720">
        <v>46200</v>
      </c>
      <c r="C720" t="s">
        <v>24</v>
      </c>
      <c r="D720" t="s">
        <v>77</v>
      </c>
      <c r="E720">
        <v>4</v>
      </c>
      <c r="F720">
        <v>46174</v>
      </c>
      <c r="G720" t="s">
        <v>77</v>
      </c>
      <c r="H720" t="s">
        <v>25</v>
      </c>
      <c r="I720">
        <v>0</v>
      </c>
      <c r="J720">
        <v>2</v>
      </c>
      <c r="K720" t="s">
        <v>69</v>
      </c>
      <c r="L720">
        <v>0</v>
      </c>
      <c r="M720" t="s">
        <v>172</v>
      </c>
      <c r="N720">
        <v>1209</v>
      </c>
    </row>
    <row r="721" spans="1:14">
      <c r="A721">
        <v>72</v>
      </c>
      <c r="B721">
        <v>46200</v>
      </c>
      <c r="C721" t="s">
        <v>24</v>
      </c>
      <c r="D721" t="s">
        <v>77</v>
      </c>
      <c r="E721">
        <v>5</v>
      </c>
      <c r="F721">
        <v>46111</v>
      </c>
      <c r="G721" t="s">
        <v>77</v>
      </c>
      <c r="H721" t="s">
        <v>189</v>
      </c>
      <c r="I721">
        <v>0</v>
      </c>
      <c r="J721">
        <v>0</v>
      </c>
      <c r="K721" t="s">
        <v>27</v>
      </c>
      <c r="L721">
        <v>0</v>
      </c>
      <c r="M721" t="s">
        <v>197</v>
      </c>
      <c r="N721">
        <v>1131</v>
      </c>
    </row>
    <row r="722" spans="1:14">
      <c r="A722">
        <v>73</v>
      </c>
      <c r="B722">
        <v>46201</v>
      </c>
      <c r="C722" t="s">
        <v>19</v>
      </c>
      <c r="D722" t="s">
        <v>21</v>
      </c>
      <c r="E722">
        <v>1</v>
      </c>
      <c r="F722">
        <v>46197</v>
      </c>
      <c r="G722" t="s">
        <v>21</v>
      </c>
      <c r="H722" t="s">
        <v>177</v>
      </c>
      <c r="I722">
        <v>1</v>
      </c>
      <c r="J722">
        <v>0</v>
      </c>
      <c r="K722" t="s">
        <v>171</v>
      </c>
      <c r="L722">
        <v>1</v>
      </c>
      <c r="M722" t="s">
        <v>242</v>
      </c>
      <c r="N722">
        <v>1384</v>
      </c>
    </row>
    <row r="723" spans="1:14">
      <c r="A723">
        <v>73</v>
      </c>
      <c r="B723">
        <v>46201</v>
      </c>
      <c r="C723" t="s">
        <v>19</v>
      </c>
      <c r="D723" t="s">
        <v>21</v>
      </c>
      <c r="E723">
        <v>2</v>
      </c>
      <c r="F723">
        <v>46191</v>
      </c>
      <c r="G723" t="s">
        <v>21</v>
      </c>
      <c r="H723" t="s">
        <v>181</v>
      </c>
      <c r="I723">
        <v>1</v>
      </c>
      <c r="J723">
        <v>1</v>
      </c>
      <c r="K723" t="s">
        <v>27</v>
      </c>
      <c r="L723">
        <v>0</v>
      </c>
      <c r="M723" t="s">
        <v>242</v>
      </c>
      <c r="N723">
        <v>1359</v>
      </c>
    </row>
    <row r="724" spans="1:14">
      <c r="A724">
        <v>73</v>
      </c>
      <c r="B724">
        <v>46201</v>
      </c>
      <c r="C724" t="s">
        <v>19</v>
      </c>
      <c r="D724" t="s">
        <v>21</v>
      </c>
      <c r="E724">
        <v>3</v>
      </c>
      <c r="F724">
        <v>46184</v>
      </c>
      <c r="G724" t="s">
        <v>21</v>
      </c>
      <c r="H724" t="s">
        <v>20</v>
      </c>
      <c r="I724">
        <v>0</v>
      </c>
      <c r="J724">
        <v>2</v>
      </c>
      <c r="K724" t="s">
        <v>69</v>
      </c>
      <c r="L724">
        <v>0</v>
      </c>
      <c r="M724" t="s">
        <v>242</v>
      </c>
      <c r="N724">
        <v>1335</v>
      </c>
    </row>
    <row r="725" spans="1:14">
      <c r="A725">
        <v>73</v>
      </c>
      <c r="B725">
        <v>46201</v>
      </c>
      <c r="C725" t="s">
        <v>19</v>
      </c>
      <c r="D725" t="s">
        <v>21</v>
      </c>
      <c r="E725">
        <v>4</v>
      </c>
      <c r="F725">
        <v>46179</v>
      </c>
      <c r="G725" t="s">
        <v>21</v>
      </c>
      <c r="H725" t="s">
        <v>173</v>
      </c>
      <c r="I725">
        <v>1</v>
      </c>
      <c r="J725">
        <v>0</v>
      </c>
      <c r="K725" t="s">
        <v>171</v>
      </c>
      <c r="L725">
        <v>1</v>
      </c>
      <c r="M725" t="s">
        <v>172</v>
      </c>
      <c r="N725">
        <v>1283</v>
      </c>
    </row>
    <row r="726" spans="1:14">
      <c r="A726">
        <v>73</v>
      </c>
      <c r="B726">
        <v>46201</v>
      </c>
      <c r="C726" t="s">
        <v>19</v>
      </c>
      <c r="D726" t="s">
        <v>21</v>
      </c>
      <c r="E726">
        <v>5</v>
      </c>
      <c r="F726">
        <v>46171</v>
      </c>
      <c r="G726" t="s">
        <v>21</v>
      </c>
      <c r="H726" t="s">
        <v>174</v>
      </c>
      <c r="I726">
        <v>0</v>
      </c>
      <c r="J726">
        <v>0</v>
      </c>
      <c r="K726" t="s">
        <v>27</v>
      </c>
      <c r="L726">
        <v>0</v>
      </c>
      <c r="M726" t="s">
        <v>172</v>
      </c>
      <c r="N726">
        <v>1191</v>
      </c>
    </row>
    <row r="727" spans="1:14">
      <c r="A727">
        <v>73</v>
      </c>
      <c r="B727">
        <v>46201</v>
      </c>
      <c r="C727" t="s">
        <v>24</v>
      </c>
      <c r="D727" t="s">
        <v>25</v>
      </c>
      <c r="E727">
        <v>1</v>
      </c>
      <c r="F727">
        <v>46197</v>
      </c>
      <c r="G727" t="s">
        <v>25</v>
      </c>
      <c r="H727" t="s">
        <v>38</v>
      </c>
      <c r="I727">
        <v>1</v>
      </c>
      <c r="J727">
        <v>2</v>
      </c>
      <c r="K727" t="s">
        <v>69</v>
      </c>
      <c r="L727">
        <v>0</v>
      </c>
      <c r="M727" t="s">
        <v>242</v>
      </c>
      <c r="N727">
        <v>1385</v>
      </c>
    </row>
    <row r="728" spans="1:14">
      <c r="A728">
        <v>73</v>
      </c>
      <c r="B728">
        <v>46201</v>
      </c>
      <c r="C728" t="s">
        <v>24</v>
      </c>
      <c r="D728" t="s">
        <v>25</v>
      </c>
      <c r="E728">
        <v>2</v>
      </c>
      <c r="F728">
        <v>46191</v>
      </c>
      <c r="G728" t="s">
        <v>25</v>
      </c>
      <c r="H728" t="s">
        <v>37</v>
      </c>
      <c r="I728">
        <v>6</v>
      </c>
      <c r="J728">
        <v>0</v>
      </c>
      <c r="K728" t="s">
        <v>171</v>
      </c>
      <c r="L728">
        <v>1</v>
      </c>
      <c r="M728" t="s">
        <v>242</v>
      </c>
      <c r="N728">
        <v>1362</v>
      </c>
    </row>
    <row r="729" spans="1:14">
      <c r="A729">
        <v>73</v>
      </c>
      <c r="B729">
        <v>46201</v>
      </c>
      <c r="C729" t="s">
        <v>24</v>
      </c>
      <c r="D729" t="s">
        <v>25</v>
      </c>
      <c r="E729">
        <v>3</v>
      </c>
      <c r="F729">
        <v>46185</v>
      </c>
      <c r="G729" t="s">
        <v>25</v>
      </c>
      <c r="H729" t="s">
        <v>26</v>
      </c>
      <c r="I729">
        <v>1</v>
      </c>
      <c r="J729">
        <v>1</v>
      </c>
      <c r="K729" t="s">
        <v>27</v>
      </c>
      <c r="L729">
        <v>0</v>
      </c>
      <c r="M729" t="s">
        <v>242</v>
      </c>
      <c r="N729">
        <v>1337</v>
      </c>
    </row>
    <row r="730" spans="1:14">
      <c r="A730">
        <v>73</v>
      </c>
      <c r="B730">
        <v>46201</v>
      </c>
      <c r="C730" t="s">
        <v>24</v>
      </c>
      <c r="D730" t="s">
        <v>25</v>
      </c>
      <c r="E730">
        <v>4</v>
      </c>
      <c r="F730">
        <v>46178</v>
      </c>
      <c r="G730" t="s">
        <v>25</v>
      </c>
      <c r="H730" t="s">
        <v>186</v>
      </c>
      <c r="I730">
        <v>1</v>
      </c>
      <c r="J730">
        <v>1</v>
      </c>
      <c r="K730" t="s">
        <v>27</v>
      </c>
      <c r="L730">
        <v>0</v>
      </c>
      <c r="M730" t="s">
        <v>172</v>
      </c>
      <c r="N730">
        <v>1250</v>
      </c>
    </row>
    <row r="731" spans="1:14">
      <c r="A731">
        <v>73</v>
      </c>
      <c r="B731">
        <v>46201</v>
      </c>
      <c r="C731" t="s">
        <v>24</v>
      </c>
      <c r="D731" t="s">
        <v>25</v>
      </c>
      <c r="E731">
        <v>5</v>
      </c>
      <c r="F731">
        <v>46174</v>
      </c>
      <c r="G731" t="s">
        <v>25</v>
      </c>
      <c r="H731" t="s">
        <v>77</v>
      </c>
      <c r="I731">
        <v>2</v>
      </c>
      <c r="J731">
        <v>0</v>
      </c>
      <c r="K731" t="s">
        <v>171</v>
      </c>
      <c r="L731">
        <v>1</v>
      </c>
      <c r="M731" t="s">
        <v>172</v>
      </c>
      <c r="N731">
        <v>1209</v>
      </c>
    </row>
    <row r="732" spans="1:14">
      <c r="A732">
        <v>74</v>
      </c>
      <c r="B732">
        <v>46202</v>
      </c>
      <c r="C732" t="s">
        <v>19</v>
      </c>
      <c r="D732" t="s">
        <v>42</v>
      </c>
      <c r="E732">
        <v>1</v>
      </c>
      <c r="F732">
        <v>46198</v>
      </c>
      <c r="G732" t="s">
        <v>42</v>
      </c>
      <c r="H732" t="s">
        <v>41</v>
      </c>
      <c r="I732">
        <v>1</v>
      </c>
      <c r="J732">
        <v>2</v>
      </c>
      <c r="K732" t="s">
        <v>69</v>
      </c>
      <c r="L732">
        <v>0</v>
      </c>
      <c r="M732" t="s">
        <v>242</v>
      </c>
      <c r="N732">
        <v>1392</v>
      </c>
    </row>
    <row r="733" spans="1:14">
      <c r="A733">
        <v>74</v>
      </c>
      <c r="B733">
        <v>46202</v>
      </c>
      <c r="C733" t="s">
        <v>19</v>
      </c>
      <c r="D733" t="s">
        <v>42</v>
      </c>
      <c r="E733">
        <v>2</v>
      </c>
      <c r="F733">
        <v>46193</v>
      </c>
      <c r="G733" t="s">
        <v>42</v>
      </c>
      <c r="H733" t="s">
        <v>180</v>
      </c>
      <c r="I733">
        <v>2</v>
      </c>
      <c r="J733">
        <v>1</v>
      </c>
      <c r="K733" t="s">
        <v>171</v>
      </c>
      <c r="L733">
        <v>1</v>
      </c>
      <c r="M733" t="s">
        <v>242</v>
      </c>
      <c r="N733">
        <v>1367</v>
      </c>
    </row>
    <row r="734" spans="1:14">
      <c r="A734">
        <v>74</v>
      </c>
      <c r="B734">
        <v>46202</v>
      </c>
      <c r="C734" t="s">
        <v>19</v>
      </c>
      <c r="D734" t="s">
        <v>42</v>
      </c>
      <c r="E734">
        <v>3</v>
      </c>
      <c r="F734">
        <v>46187</v>
      </c>
      <c r="G734" t="s">
        <v>42</v>
      </c>
      <c r="H734" t="s">
        <v>43</v>
      </c>
      <c r="I734">
        <v>7</v>
      </c>
      <c r="J734">
        <v>1</v>
      </c>
      <c r="K734" t="s">
        <v>171</v>
      </c>
      <c r="L734">
        <v>1</v>
      </c>
      <c r="M734" t="s">
        <v>242</v>
      </c>
      <c r="N734">
        <v>1343</v>
      </c>
    </row>
    <row r="735" spans="1:14">
      <c r="A735">
        <v>74</v>
      </c>
      <c r="B735">
        <v>46202</v>
      </c>
      <c r="C735" t="s">
        <v>19</v>
      </c>
      <c r="D735" t="s">
        <v>42</v>
      </c>
      <c r="E735">
        <v>4</v>
      </c>
      <c r="F735">
        <v>46179</v>
      </c>
      <c r="G735" t="s">
        <v>42</v>
      </c>
      <c r="H735" t="s">
        <v>193</v>
      </c>
      <c r="I735">
        <v>2</v>
      </c>
      <c r="J735">
        <v>1</v>
      </c>
      <c r="K735" t="s">
        <v>171</v>
      </c>
      <c r="L735">
        <v>1</v>
      </c>
      <c r="M735" t="s">
        <v>172</v>
      </c>
      <c r="N735">
        <v>1289</v>
      </c>
    </row>
    <row r="736" spans="1:14">
      <c r="A736">
        <v>74</v>
      </c>
      <c r="B736">
        <v>46202</v>
      </c>
      <c r="C736" t="s">
        <v>19</v>
      </c>
      <c r="D736" t="s">
        <v>42</v>
      </c>
      <c r="E736">
        <v>5</v>
      </c>
      <c r="F736">
        <v>46173</v>
      </c>
      <c r="G736" t="s">
        <v>42</v>
      </c>
      <c r="H736" t="s">
        <v>206</v>
      </c>
      <c r="I736">
        <v>4</v>
      </c>
      <c r="J736">
        <v>0</v>
      </c>
      <c r="K736" t="s">
        <v>171</v>
      </c>
      <c r="L736">
        <v>1</v>
      </c>
      <c r="M736" t="s">
        <v>172</v>
      </c>
      <c r="N736">
        <v>1201</v>
      </c>
    </row>
    <row r="737" spans="1:14">
      <c r="A737">
        <v>74</v>
      </c>
      <c r="B737">
        <v>46202</v>
      </c>
      <c r="C737" t="s">
        <v>24</v>
      </c>
      <c r="D737" t="s">
        <v>29</v>
      </c>
      <c r="E737">
        <v>1</v>
      </c>
      <c r="F737">
        <v>46198</v>
      </c>
      <c r="G737" t="s">
        <v>29</v>
      </c>
      <c r="H737" t="s">
        <v>33</v>
      </c>
      <c r="I737">
        <v>0</v>
      </c>
      <c r="J737">
        <v>0</v>
      </c>
      <c r="K737" t="s">
        <v>27</v>
      </c>
      <c r="L737">
        <v>0</v>
      </c>
      <c r="M737" t="s">
        <v>242</v>
      </c>
      <c r="N737">
        <v>1390</v>
      </c>
    </row>
    <row r="738" spans="1:14">
      <c r="A738">
        <v>74</v>
      </c>
      <c r="B738">
        <v>46202</v>
      </c>
      <c r="C738" t="s">
        <v>24</v>
      </c>
      <c r="D738" t="s">
        <v>29</v>
      </c>
      <c r="E738">
        <v>2</v>
      </c>
      <c r="F738">
        <v>46192</v>
      </c>
      <c r="G738" t="s">
        <v>29</v>
      </c>
      <c r="H738" t="s">
        <v>198</v>
      </c>
      <c r="I738">
        <v>1</v>
      </c>
      <c r="J738">
        <v>0</v>
      </c>
      <c r="K738" t="s">
        <v>171</v>
      </c>
      <c r="L738">
        <v>1</v>
      </c>
      <c r="M738" t="s">
        <v>242</v>
      </c>
      <c r="N738">
        <v>1366</v>
      </c>
    </row>
    <row r="739" spans="1:14">
      <c r="A739">
        <v>74</v>
      </c>
      <c r="B739">
        <v>46202</v>
      </c>
      <c r="C739" t="s">
        <v>24</v>
      </c>
      <c r="D739" t="s">
        <v>29</v>
      </c>
      <c r="E739">
        <v>3</v>
      </c>
      <c r="F739">
        <v>46185</v>
      </c>
      <c r="G739" t="s">
        <v>29</v>
      </c>
      <c r="H739" t="s">
        <v>193</v>
      </c>
      <c r="I739">
        <v>1</v>
      </c>
      <c r="J739">
        <v>4</v>
      </c>
      <c r="K739" t="s">
        <v>69</v>
      </c>
      <c r="L739">
        <v>0</v>
      </c>
      <c r="M739" t="s">
        <v>242</v>
      </c>
      <c r="N739">
        <v>1338</v>
      </c>
    </row>
    <row r="740" spans="1:14">
      <c r="A740">
        <v>74</v>
      </c>
      <c r="B740">
        <v>46202</v>
      </c>
      <c r="C740" t="s">
        <v>24</v>
      </c>
      <c r="D740" t="s">
        <v>29</v>
      </c>
      <c r="E740">
        <v>4</v>
      </c>
      <c r="F740">
        <v>46178</v>
      </c>
      <c r="G740" t="s">
        <v>29</v>
      </c>
      <c r="H740" t="s">
        <v>174</v>
      </c>
      <c r="I740">
        <v>4</v>
      </c>
      <c r="J740">
        <v>0</v>
      </c>
      <c r="K740" t="s">
        <v>171</v>
      </c>
      <c r="L740">
        <v>1</v>
      </c>
      <c r="M740" t="s">
        <v>172</v>
      </c>
      <c r="N740">
        <v>1257</v>
      </c>
    </row>
    <row r="741" spans="1:14">
      <c r="A741">
        <v>74</v>
      </c>
      <c r="B741">
        <v>46202</v>
      </c>
      <c r="C741" t="s">
        <v>24</v>
      </c>
      <c r="D741" t="s">
        <v>29</v>
      </c>
      <c r="E741">
        <v>5</v>
      </c>
      <c r="F741">
        <v>46112</v>
      </c>
      <c r="G741" t="s">
        <v>29</v>
      </c>
      <c r="H741" t="s">
        <v>36</v>
      </c>
      <c r="I741">
        <v>1</v>
      </c>
      <c r="J741">
        <v>2</v>
      </c>
      <c r="K741" t="s">
        <v>69</v>
      </c>
      <c r="L741">
        <v>0</v>
      </c>
      <c r="M741" t="s">
        <v>172</v>
      </c>
      <c r="N741">
        <v>1152</v>
      </c>
    </row>
    <row r="742" spans="1:14">
      <c r="A742">
        <v>75</v>
      </c>
      <c r="B742">
        <v>46202</v>
      </c>
      <c r="C742" t="s">
        <v>19</v>
      </c>
      <c r="D742" t="s">
        <v>45</v>
      </c>
      <c r="E742">
        <v>1</v>
      </c>
      <c r="F742">
        <v>46198</v>
      </c>
      <c r="G742" t="s">
        <v>45</v>
      </c>
      <c r="H742" t="s">
        <v>48</v>
      </c>
      <c r="I742">
        <v>3</v>
      </c>
      <c r="J742">
        <v>1</v>
      </c>
      <c r="K742" t="s">
        <v>171</v>
      </c>
      <c r="L742">
        <v>1</v>
      </c>
      <c r="M742" t="s">
        <v>242</v>
      </c>
      <c r="N742">
        <v>1394</v>
      </c>
    </row>
    <row r="743" spans="1:14">
      <c r="A743">
        <v>75</v>
      </c>
      <c r="B743">
        <v>46202</v>
      </c>
      <c r="C743" t="s">
        <v>19</v>
      </c>
      <c r="D743" t="s">
        <v>45</v>
      </c>
      <c r="E743">
        <v>2</v>
      </c>
      <c r="F743">
        <v>46193</v>
      </c>
      <c r="G743" t="s">
        <v>45</v>
      </c>
      <c r="H743" t="s">
        <v>47</v>
      </c>
      <c r="I743">
        <v>5</v>
      </c>
      <c r="J743">
        <v>1</v>
      </c>
      <c r="K743" t="s">
        <v>171</v>
      </c>
      <c r="L743">
        <v>1</v>
      </c>
      <c r="M743" t="s">
        <v>242</v>
      </c>
      <c r="N743">
        <v>1369</v>
      </c>
    </row>
    <row r="744" spans="1:14">
      <c r="A744">
        <v>75</v>
      </c>
      <c r="B744">
        <v>46202</v>
      </c>
      <c r="C744" t="s">
        <v>19</v>
      </c>
      <c r="D744" t="s">
        <v>45</v>
      </c>
      <c r="E744">
        <v>3</v>
      </c>
      <c r="F744">
        <v>46187</v>
      </c>
      <c r="G744" t="s">
        <v>45</v>
      </c>
      <c r="H744" t="s">
        <v>46</v>
      </c>
      <c r="I744">
        <v>2</v>
      </c>
      <c r="J744">
        <v>2</v>
      </c>
      <c r="K744" t="s">
        <v>27</v>
      </c>
      <c r="L744">
        <v>0</v>
      </c>
      <c r="M744" t="s">
        <v>242</v>
      </c>
      <c r="N744">
        <v>1345</v>
      </c>
    </row>
    <row r="745" spans="1:14">
      <c r="A745">
        <v>75</v>
      </c>
      <c r="B745">
        <v>46202</v>
      </c>
      <c r="C745" t="s">
        <v>19</v>
      </c>
      <c r="D745" t="s">
        <v>45</v>
      </c>
      <c r="E745">
        <v>4</v>
      </c>
      <c r="F745">
        <v>46181</v>
      </c>
      <c r="G745" t="s">
        <v>45</v>
      </c>
      <c r="H745" t="s">
        <v>77</v>
      </c>
      <c r="I745">
        <v>2</v>
      </c>
      <c r="J745">
        <v>1</v>
      </c>
      <c r="K745" t="s">
        <v>171</v>
      </c>
      <c r="L745">
        <v>1</v>
      </c>
      <c r="M745" t="s">
        <v>172</v>
      </c>
      <c r="N745">
        <v>1306</v>
      </c>
    </row>
    <row r="746" spans="1:14">
      <c r="A746">
        <v>75</v>
      </c>
      <c r="B746">
        <v>46202</v>
      </c>
      <c r="C746" t="s">
        <v>19</v>
      </c>
      <c r="D746" t="s">
        <v>45</v>
      </c>
      <c r="E746">
        <v>5</v>
      </c>
      <c r="F746">
        <v>46176</v>
      </c>
      <c r="G746" t="s">
        <v>45</v>
      </c>
      <c r="H746" t="s">
        <v>66</v>
      </c>
      <c r="I746">
        <v>0</v>
      </c>
      <c r="J746">
        <v>1</v>
      </c>
      <c r="K746" t="s">
        <v>69</v>
      </c>
      <c r="L746">
        <v>0</v>
      </c>
      <c r="M746" t="s">
        <v>172</v>
      </c>
      <c r="N746">
        <v>1229</v>
      </c>
    </row>
    <row r="747" spans="1:14">
      <c r="A747">
        <v>75</v>
      </c>
      <c r="B747">
        <v>46202</v>
      </c>
      <c r="C747" t="s">
        <v>24</v>
      </c>
      <c r="D747" t="s">
        <v>36</v>
      </c>
      <c r="E747">
        <v>1</v>
      </c>
      <c r="F747">
        <v>46197</v>
      </c>
      <c r="G747" t="s">
        <v>36</v>
      </c>
      <c r="H747" t="s">
        <v>31</v>
      </c>
      <c r="I747">
        <v>4</v>
      </c>
      <c r="J747">
        <v>2</v>
      </c>
      <c r="K747" t="s">
        <v>171</v>
      </c>
      <c r="L747">
        <v>1</v>
      </c>
      <c r="M747" t="s">
        <v>242</v>
      </c>
      <c r="N747">
        <v>1388</v>
      </c>
    </row>
    <row r="748" spans="1:14">
      <c r="A748">
        <v>75</v>
      </c>
      <c r="B748">
        <v>46202</v>
      </c>
      <c r="C748" t="s">
        <v>24</v>
      </c>
      <c r="D748" t="s">
        <v>36</v>
      </c>
      <c r="E748">
        <v>2</v>
      </c>
      <c r="F748">
        <v>46192</v>
      </c>
      <c r="G748" t="s">
        <v>36</v>
      </c>
      <c r="H748" t="s">
        <v>32</v>
      </c>
      <c r="I748">
        <v>1</v>
      </c>
      <c r="J748">
        <v>0</v>
      </c>
      <c r="K748" t="s">
        <v>171</v>
      </c>
      <c r="L748">
        <v>1</v>
      </c>
      <c r="M748" t="s">
        <v>242</v>
      </c>
      <c r="N748">
        <v>1363</v>
      </c>
    </row>
    <row r="749" spans="1:14">
      <c r="A749">
        <v>75</v>
      </c>
      <c r="B749">
        <v>46202</v>
      </c>
      <c r="C749" t="s">
        <v>24</v>
      </c>
      <c r="D749" t="s">
        <v>36</v>
      </c>
      <c r="E749">
        <v>3</v>
      </c>
      <c r="F749">
        <v>46186</v>
      </c>
      <c r="G749" t="s">
        <v>36</v>
      </c>
      <c r="H749" t="s">
        <v>35</v>
      </c>
      <c r="I749">
        <v>1</v>
      </c>
      <c r="J749">
        <v>1</v>
      </c>
      <c r="K749" t="s">
        <v>27</v>
      </c>
      <c r="L749">
        <v>0</v>
      </c>
      <c r="M749" t="s">
        <v>242</v>
      </c>
      <c r="N749">
        <v>1340</v>
      </c>
    </row>
    <row r="750" spans="1:14">
      <c r="A750">
        <v>75</v>
      </c>
      <c r="B750">
        <v>46202</v>
      </c>
      <c r="C750" t="s">
        <v>24</v>
      </c>
      <c r="D750" t="s">
        <v>36</v>
      </c>
      <c r="E750">
        <v>4</v>
      </c>
      <c r="F750">
        <v>46180</v>
      </c>
      <c r="G750" t="s">
        <v>36</v>
      </c>
      <c r="H750" t="s">
        <v>63</v>
      </c>
      <c r="I750">
        <v>1</v>
      </c>
      <c r="J750">
        <v>1</v>
      </c>
      <c r="K750" t="s">
        <v>27</v>
      </c>
      <c r="L750">
        <v>0</v>
      </c>
      <c r="M750" t="s">
        <v>172</v>
      </c>
      <c r="N750">
        <v>1303</v>
      </c>
    </row>
    <row r="751" spans="1:14">
      <c r="A751">
        <v>75</v>
      </c>
      <c r="B751">
        <v>46202</v>
      </c>
      <c r="C751" t="s">
        <v>24</v>
      </c>
      <c r="D751" t="s">
        <v>36</v>
      </c>
      <c r="E751">
        <v>5</v>
      </c>
      <c r="F751">
        <v>46175</v>
      </c>
      <c r="G751" t="s">
        <v>36</v>
      </c>
      <c r="H751" t="s">
        <v>200</v>
      </c>
      <c r="I751">
        <v>4</v>
      </c>
      <c r="J751">
        <v>0</v>
      </c>
      <c r="K751" t="s">
        <v>171</v>
      </c>
      <c r="L751">
        <v>1</v>
      </c>
      <c r="M751" t="s">
        <v>172</v>
      </c>
      <c r="N751">
        <v>1218</v>
      </c>
    </row>
    <row r="752" spans="1:14">
      <c r="A752">
        <v>76</v>
      </c>
      <c r="B752">
        <v>46202</v>
      </c>
      <c r="C752" t="s">
        <v>19</v>
      </c>
      <c r="D752" t="s">
        <v>35</v>
      </c>
      <c r="E752">
        <v>1</v>
      </c>
      <c r="F752">
        <v>46197</v>
      </c>
      <c r="G752" t="s">
        <v>35</v>
      </c>
      <c r="H752" t="s">
        <v>32</v>
      </c>
      <c r="I752">
        <v>3</v>
      </c>
      <c r="J752">
        <v>0</v>
      </c>
      <c r="K752" t="s">
        <v>171</v>
      </c>
      <c r="L752">
        <v>1</v>
      </c>
      <c r="M752" t="s">
        <v>242</v>
      </c>
      <c r="N752">
        <v>1387</v>
      </c>
    </row>
    <row r="753" spans="1:14">
      <c r="A753">
        <v>76</v>
      </c>
      <c r="B753">
        <v>46202</v>
      </c>
      <c r="C753" t="s">
        <v>19</v>
      </c>
      <c r="D753" t="s">
        <v>35</v>
      </c>
      <c r="E753">
        <v>2</v>
      </c>
      <c r="F753">
        <v>46192</v>
      </c>
      <c r="G753" t="s">
        <v>35</v>
      </c>
      <c r="H753" t="s">
        <v>31</v>
      </c>
      <c r="I753">
        <v>3</v>
      </c>
      <c r="J753">
        <v>0</v>
      </c>
      <c r="K753" t="s">
        <v>171</v>
      </c>
      <c r="L753">
        <v>1</v>
      </c>
      <c r="M753" t="s">
        <v>242</v>
      </c>
      <c r="N753">
        <v>1364</v>
      </c>
    </row>
    <row r="754" spans="1:14">
      <c r="A754">
        <v>76</v>
      </c>
      <c r="B754">
        <v>46202</v>
      </c>
      <c r="C754" t="s">
        <v>19</v>
      </c>
      <c r="D754" t="s">
        <v>35</v>
      </c>
      <c r="E754">
        <v>3</v>
      </c>
      <c r="F754">
        <v>46186</v>
      </c>
      <c r="G754" t="s">
        <v>35</v>
      </c>
      <c r="H754" t="s">
        <v>36</v>
      </c>
      <c r="I754">
        <v>1</v>
      </c>
      <c r="J754">
        <v>1</v>
      </c>
      <c r="K754" t="s">
        <v>27</v>
      </c>
      <c r="L754">
        <v>0</v>
      </c>
      <c r="M754" t="s">
        <v>242</v>
      </c>
      <c r="N754">
        <v>1340</v>
      </c>
    </row>
    <row r="755" spans="1:14">
      <c r="A755">
        <v>76</v>
      </c>
      <c r="B755">
        <v>46202</v>
      </c>
      <c r="C755" t="s">
        <v>19</v>
      </c>
      <c r="D755" t="s">
        <v>35</v>
      </c>
      <c r="E755">
        <v>4</v>
      </c>
      <c r="F755">
        <v>46179</v>
      </c>
      <c r="G755" t="s">
        <v>35</v>
      </c>
      <c r="H755" t="s">
        <v>58</v>
      </c>
      <c r="I755">
        <v>2</v>
      </c>
      <c r="J755">
        <v>1</v>
      </c>
      <c r="K755" t="s">
        <v>171</v>
      </c>
      <c r="L755">
        <v>1</v>
      </c>
      <c r="M755" t="s">
        <v>172</v>
      </c>
      <c r="N755">
        <v>1278</v>
      </c>
    </row>
    <row r="756" spans="1:14">
      <c r="A756">
        <v>76</v>
      </c>
      <c r="B756">
        <v>46202</v>
      </c>
      <c r="C756" t="s">
        <v>19</v>
      </c>
      <c r="D756" t="s">
        <v>35</v>
      </c>
      <c r="E756">
        <v>5</v>
      </c>
      <c r="F756">
        <v>46173</v>
      </c>
      <c r="G756" t="s">
        <v>35</v>
      </c>
      <c r="H756" t="s">
        <v>71</v>
      </c>
      <c r="I756">
        <v>6</v>
      </c>
      <c r="J756">
        <v>2</v>
      </c>
      <c r="K756" t="s">
        <v>171</v>
      </c>
      <c r="L756">
        <v>1</v>
      </c>
      <c r="M756" t="s">
        <v>172</v>
      </c>
      <c r="N756">
        <v>1198</v>
      </c>
    </row>
    <row r="757" spans="1:14">
      <c r="A757">
        <v>76</v>
      </c>
      <c r="B757">
        <v>46202</v>
      </c>
      <c r="C757" t="s">
        <v>24</v>
      </c>
      <c r="D757" t="s">
        <v>46</v>
      </c>
      <c r="E757">
        <v>1</v>
      </c>
      <c r="F757">
        <v>46198</v>
      </c>
      <c r="G757" t="s">
        <v>46</v>
      </c>
      <c r="H757" t="s">
        <v>47</v>
      </c>
      <c r="I757">
        <v>1</v>
      </c>
      <c r="J757">
        <v>1</v>
      </c>
      <c r="K757" t="s">
        <v>27</v>
      </c>
      <c r="L757">
        <v>0</v>
      </c>
      <c r="M757" t="s">
        <v>242</v>
      </c>
      <c r="N757">
        <v>1393</v>
      </c>
    </row>
    <row r="758" spans="1:14">
      <c r="A758">
        <v>76</v>
      </c>
      <c r="B758">
        <v>46202</v>
      </c>
      <c r="C758" t="s">
        <v>24</v>
      </c>
      <c r="D758" t="s">
        <v>46</v>
      </c>
      <c r="E758">
        <v>2</v>
      </c>
      <c r="F758">
        <v>46193</v>
      </c>
      <c r="G758" t="s">
        <v>46</v>
      </c>
      <c r="H758" t="s">
        <v>48</v>
      </c>
      <c r="I758">
        <v>4</v>
      </c>
      <c r="J758">
        <v>0</v>
      </c>
      <c r="K758" t="s">
        <v>171</v>
      </c>
      <c r="L758">
        <v>1</v>
      </c>
      <c r="M758" t="s">
        <v>242</v>
      </c>
      <c r="N758">
        <v>1370</v>
      </c>
    </row>
    <row r="759" spans="1:14">
      <c r="A759">
        <v>76</v>
      </c>
      <c r="B759">
        <v>46202</v>
      </c>
      <c r="C759" t="s">
        <v>24</v>
      </c>
      <c r="D759" t="s">
        <v>46</v>
      </c>
      <c r="E759">
        <v>3</v>
      </c>
      <c r="F759">
        <v>46187</v>
      </c>
      <c r="G759" t="s">
        <v>46</v>
      </c>
      <c r="H759" t="s">
        <v>45</v>
      </c>
      <c r="I759">
        <v>2</v>
      </c>
      <c r="J759">
        <v>2</v>
      </c>
      <c r="K759" t="s">
        <v>27</v>
      </c>
      <c r="L759">
        <v>0</v>
      </c>
      <c r="M759" t="s">
        <v>242</v>
      </c>
      <c r="N759">
        <v>1345</v>
      </c>
    </row>
    <row r="760" spans="1:14">
      <c r="A760">
        <v>76</v>
      </c>
      <c r="B760">
        <v>46202</v>
      </c>
      <c r="C760" t="s">
        <v>24</v>
      </c>
      <c r="D760" t="s">
        <v>46</v>
      </c>
      <c r="E760">
        <v>4</v>
      </c>
      <c r="F760">
        <v>46173</v>
      </c>
      <c r="G760" t="s">
        <v>46</v>
      </c>
      <c r="H760" t="s">
        <v>188</v>
      </c>
      <c r="I760">
        <v>1</v>
      </c>
      <c r="J760">
        <v>0</v>
      </c>
      <c r="K760" t="s">
        <v>171</v>
      </c>
      <c r="L760">
        <v>1</v>
      </c>
      <c r="M760" t="s">
        <v>172</v>
      </c>
      <c r="N760">
        <v>1206</v>
      </c>
    </row>
    <row r="761" spans="1:14">
      <c r="A761">
        <v>76</v>
      </c>
      <c r="B761">
        <v>46202</v>
      </c>
      <c r="C761" t="s">
        <v>24</v>
      </c>
      <c r="D761" t="s">
        <v>46</v>
      </c>
      <c r="E761">
        <v>5</v>
      </c>
      <c r="F761">
        <v>46112</v>
      </c>
      <c r="G761" t="s">
        <v>46</v>
      </c>
      <c r="H761" t="s">
        <v>72</v>
      </c>
      <c r="I761">
        <v>1</v>
      </c>
      <c r="J761">
        <v>0</v>
      </c>
      <c r="K761" t="s">
        <v>171</v>
      </c>
      <c r="L761">
        <v>1</v>
      </c>
      <c r="M761" t="s">
        <v>172</v>
      </c>
      <c r="N761">
        <v>1142</v>
      </c>
    </row>
    <row r="762" spans="1:14">
      <c r="A762">
        <v>77</v>
      </c>
      <c r="B762">
        <v>46203</v>
      </c>
      <c r="C762" t="s">
        <v>19</v>
      </c>
      <c r="D762" t="s">
        <v>60</v>
      </c>
      <c r="E762">
        <v>1</v>
      </c>
      <c r="F762">
        <v>46199</v>
      </c>
      <c r="G762" t="s">
        <v>60</v>
      </c>
      <c r="H762" t="s">
        <v>63</v>
      </c>
      <c r="I762">
        <v>4</v>
      </c>
      <c r="J762">
        <v>1</v>
      </c>
      <c r="K762" t="s">
        <v>171</v>
      </c>
      <c r="L762">
        <v>1</v>
      </c>
      <c r="M762" t="s">
        <v>242</v>
      </c>
      <c r="N762">
        <v>1399</v>
      </c>
    </row>
    <row r="763" spans="1:14">
      <c r="A763">
        <v>77</v>
      </c>
      <c r="B763">
        <v>46203</v>
      </c>
      <c r="C763" t="s">
        <v>19</v>
      </c>
      <c r="D763" t="s">
        <v>60</v>
      </c>
      <c r="E763">
        <v>2</v>
      </c>
      <c r="F763">
        <v>46195</v>
      </c>
      <c r="G763" t="s">
        <v>60</v>
      </c>
      <c r="H763" t="s">
        <v>62</v>
      </c>
      <c r="I763">
        <v>3</v>
      </c>
      <c r="J763">
        <v>0</v>
      </c>
      <c r="K763" t="s">
        <v>171</v>
      </c>
      <c r="L763">
        <v>1</v>
      </c>
      <c r="M763" t="s">
        <v>242</v>
      </c>
      <c r="N763">
        <v>1375</v>
      </c>
    </row>
    <row r="764" spans="1:14">
      <c r="A764">
        <v>77</v>
      </c>
      <c r="B764">
        <v>46203</v>
      </c>
      <c r="C764" t="s">
        <v>19</v>
      </c>
      <c r="D764" t="s">
        <v>60</v>
      </c>
      <c r="E764">
        <v>3</v>
      </c>
      <c r="F764">
        <v>46189</v>
      </c>
      <c r="G764" t="s">
        <v>60</v>
      </c>
      <c r="H764" t="s">
        <v>61</v>
      </c>
      <c r="I764">
        <v>3</v>
      </c>
      <c r="J764">
        <v>1</v>
      </c>
      <c r="K764" t="s">
        <v>171</v>
      </c>
      <c r="L764">
        <v>1</v>
      </c>
      <c r="M764" t="s">
        <v>242</v>
      </c>
      <c r="N764">
        <v>1351</v>
      </c>
    </row>
    <row r="765" spans="1:14">
      <c r="A765">
        <v>77</v>
      </c>
      <c r="B765">
        <v>46203</v>
      </c>
      <c r="C765" t="s">
        <v>19</v>
      </c>
      <c r="D765" t="s">
        <v>60</v>
      </c>
      <c r="E765">
        <v>4</v>
      </c>
      <c r="F765">
        <v>46181</v>
      </c>
      <c r="G765" t="s">
        <v>60</v>
      </c>
      <c r="H765" t="s">
        <v>228</v>
      </c>
      <c r="I765">
        <v>3</v>
      </c>
      <c r="J765">
        <v>1</v>
      </c>
      <c r="K765" t="s">
        <v>171</v>
      </c>
      <c r="L765">
        <v>1</v>
      </c>
      <c r="M765" t="s">
        <v>172</v>
      </c>
      <c r="N765">
        <v>1305</v>
      </c>
    </row>
    <row r="766" spans="1:14">
      <c r="A766">
        <v>77</v>
      </c>
      <c r="B766">
        <v>46203</v>
      </c>
      <c r="C766" t="s">
        <v>19</v>
      </c>
      <c r="D766" t="s">
        <v>60</v>
      </c>
      <c r="E766">
        <v>5</v>
      </c>
      <c r="F766">
        <v>46177</v>
      </c>
      <c r="G766" t="s">
        <v>60</v>
      </c>
      <c r="H766" t="s">
        <v>180</v>
      </c>
      <c r="I766">
        <v>1</v>
      </c>
      <c r="J766">
        <v>2</v>
      </c>
      <c r="K766" t="s">
        <v>69</v>
      </c>
      <c r="L766">
        <v>0</v>
      </c>
      <c r="M766" t="s">
        <v>172</v>
      </c>
      <c r="N766">
        <v>1238</v>
      </c>
    </row>
    <row r="767" spans="1:14">
      <c r="A767">
        <v>77</v>
      </c>
      <c r="B767">
        <v>46203</v>
      </c>
      <c r="C767" t="s">
        <v>24</v>
      </c>
      <c r="D767" t="s">
        <v>47</v>
      </c>
      <c r="E767">
        <v>1</v>
      </c>
      <c r="F767">
        <v>46198</v>
      </c>
      <c r="G767" t="s">
        <v>47</v>
      </c>
      <c r="H767" t="s">
        <v>46</v>
      </c>
      <c r="I767">
        <v>1</v>
      </c>
      <c r="J767">
        <v>1</v>
      </c>
      <c r="K767" t="s">
        <v>27</v>
      </c>
      <c r="L767">
        <v>0</v>
      </c>
      <c r="M767" t="s">
        <v>242</v>
      </c>
      <c r="N767">
        <v>1393</v>
      </c>
    </row>
    <row r="768" spans="1:14">
      <c r="A768">
        <v>77</v>
      </c>
      <c r="B768">
        <v>46203</v>
      </c>
      <c r="C768" t="s">
        <v>24</v>
      </c>
      <c r="D768" t="s">
        <v>47</v>
      </c>
      <c r="E768">
        <v>2</v>
      </c>
      <c r="F768">
        <v>46193</v>
      </c>
      <c r="G768" t="s">
        <v>47</v>
      </c>
      <c r="H768" t="s">
        <v>45</v>
      </c>
      <c r="I768">
        <v>1</v>
      </c>
      <c r="J768">
        <v>5</v>
      </c>
      <c r="K768" t="s">
        <v>69</v>
      </c>
      <c r="L768">
        <v>0</v>
      </c>
      <c r="M768" t="s">
        <v>242</v>
      </c>
      <c r="N768">
        <v>1369</v>
      </c>
    </row>
    <row r="769" spans="1:14">
      <c r="A769">
        <v>77</v>
      </c>
      <c r="B769">
        <v>46203</v>
      </c>
      <c r="C769" t="s">
        <v>24</v>
      </c>
      <c r="D769" t="s">
        <v>47</v>
      </c>
      <c r="E769">
        <v>3</v>
      </c>
      <c r="F769">
        <v>46187</v>
      </c>
      <c r="G769" t="s">
        <v>47</v>
      </c>
      <c r="H769" t="s">
        <v>48</v>
      </c>
      <c r="I769">
        <v>5</v>
      </c>
      <c r="J769">
        <v>1</v>
      </c>
      <c r="K769" t="s">
        <v>171</v>
      </c>
      <c r="L769">
        <v>1</v>
      </c>
      <c r="M769" t="s">
        <v>242</v>
      </c>
      <c r="N769">
        <v>1346</v>
      </c>
    </row>
    <row r="770" spans="1:14">
      <c r="A770">
        <v>77</v>
      </c>
      <c r="B770">
        <v>46203</v>
      </c>
      <c r="C770" t="s">
        <v>24</v>
      </c>
      <c r="D770" t="s">
        <v>47</v>
      </c>
      <c r="E770">
        <v>4</v>
      </c>
      <c r="F770">
        <v>46177</v>
      </c>
      <c r="G770" t="s">
        <v>47</v>
      </c>
      <c r="H770" t="s">
        <v>194</v>
      </c>
      <c r="I770">
        <v>2</v>
      </c>
      <c r="J770">
        <v>2</v>
      </c>
      <c r="K770" t="s">
        <v>27</v>
      </c>
      <c r="L770">
        <v>0</v>
      </c>
      <c r="M770" t="s">
        <v>172</v>
      </c>
      <c r="N770">
        <v>1246</v>
      </c>
    </row>
    <row r="771" spans="1:14">
      <c r="A771">
        <v>77</v>
      </c>
      <c r="B771">
        <v>46203</v>
      </c>
      <c r="C771" t="s">
        <v>24</v>
      </c>
      <c r="D771" t="s">
        <v>47</v>
      </c>
      <c r="E771">
        <v>5</v>
      </c>
      <c r="F771">
        <v>46174</v>
      </c>
      <c r="G771" t="s">
        <v>47</v>
      </c>
      <c r="H771" t="s">
        <v>63</v>
      </c>
      <c r="I771">
        <v>1</v>
      </c>
      <c r="J771">
        <v>3</v>
      </c>
      <c r="K771" t="s">
        <v>69</v>
      </c>
      <c r="L771">
        <v>0</v>
      </c>
      <c r="M771" t="s">
        <v>172</v>
      </c>
      <c r="N771">
        <v>1211</v>
      </c>
    </row>
    <row r="772" spans="1:14">
      <c r="A772">
        <v>78</v>
      </c>
      <c r="B772">
        <v>46203</v>
      </c>
      <c r="C772" t="s">
        <v>19</v>
      </c>
      <c r="D772" t="s">
        <v>40</v>
      </c>
      <c r="E772">
        <v>1</v>
      </c>
      <c r="F772">
        <v>46198</v>
      </c>
      <c r="G772" t="s">
        <v>180</v>
      </c>
      <c r="H772" t="s">
        <v>43</v>
      </c>
      <c r="I772">
        <v>2</v>
      </c>
      <c r="J772">
        <v>0</v>
      </c>
      <c r="K772" t="s">
        <v>171</v>
      </c>
      <c r="L772">
        <v>1</v>
      </c>
      <c r="M772" t="s">
        <v>242</v>
      </c>
      <c r="N772">
        <v>1391</v>
      </c>
    </row>
    <row r="773" spans="1:14">
      <c r="A773">
        <v>78</v>
      </c>
      <c r="B773">
        <v>46203</v>
      </c>
      <c r="C773" t="s">
        <v>19</v>
      </c>
      <c r="D773" t="s">
        <v>40</v>
      </c>
      <c r="E773">
        <v>2</v>
      </c>
      <c r="F773">
        <v>46193</v>
      </c>
      <c r="G773" t="s">
        <v>180</v>
      </c>
      <c r="H773" t="s">
        <v>42</v>
      </c>
      <c r="I773">
        <v>1</v>
      </c>
      <c r="J773">
        <v>2</v>
      </c>
      <c r="K773" t="s">
        <v>69</v>
      </c>
      <c r="L773">
        <v>0</v>
      </c>
      <c r="M773" t="s">
        <v>242</v>
      </c>
      <c r="N773">
        <v>1367</v>
      </c>
    </row>
    <row r="774" spans="1:14">
      <c r="A774">
        <v>78</v>
      </c>
      <c r="B774">
        <v>46203</v>
      </c>
      <c r="C774" t="s">
        <v>19</v>
      </c>
      <c r="D774" t="s">
        <v>40</v>
      </c>
      <c r="E774">
        <v>3</v>
      </c>
      <c r="F774">
        <v>46187</v>
      </c>
      <c r="G774" t="s">
        <v>180</v>
      </c>
      <c r="H774" t="s">
        <v>41</v>
      </c>
      <c r="I774">
        <v>1</v>
      </c>
      <c r="J774">
        <v>0</v>
      </c>
      <c r="K774" t="s">
        <v>171</v>
      </c>
      <c r="L774">
        <v>1</v>
      </c>
      <c r="M774" t="s">
        <v>242</v>
      </c>
      <c r="N774">
        <v>1344</v>
      </c>
    </row>
    <row r="775" spans="1:14">
      <c r="A775">
        <v>78</v>
      </c>
      <c r="B775">
        <v>46203</v>
      </c>
      <c r="C775" t="s">
        <v>19</v>
      </c>
      <c r="D775" t="s">
        <v>40</v>
      </c>
      <c r="E775">
        <v>4</v>
      </c>
      <c r="F775">
        <v>46177</v>
      </c>
      <c r="G775" t="s">
        <v>180</v>
      </c>
      <c r="H775" t="s">
        <v>60</v>
      </c>
      <c r="I775">
        <v>2</v>
      </c>
      <c r="J775">
        <v>1</v>
      </c>
      <c r="K775" t="s">
        <v>171</v>
      </c>
      <c r="L775">
        <v>1</v>
      </c>
      <c r="M775" t="s">
        <v>172</v>
      </c>
      <c r="N775">
        <v>1238</v>
      </c>
    </row>
    <row r="776" spans="1:14">
      <c r="A776">
        <v>78</v>
      </c>
      <c r="B776">
        <v>46203</v>
      </c>
      <c r="C776" t="s">
        <v>19</v>
      </c>
      <c r="D776" t="s">
        <v>40</v>
      </c>
      <c r="E776">
        <v>5</v>
      </c>
      <c r="F776">
        <v>46112</v>
      </c>
      <c r="G776" t="s">
        <v>180</v>
      </c>
      <c r="H776" t="s">
        <v>32</v>
      </c>
      <c r="I776">
        <v>1</v>
      </c>
      <c r="J776">
        <v>0</v>
      </c>
      <c r="K776" t="s">
        <v>171</v>
      </c>
      <c r="L776">
        <v>1</v>
      </c>
      <c r="M776" t="s">
        <v>172</v>
      </c>
      <c r="N776">
        <v>1146</v>
      </c>
    </row>
    <row r="777" spans="1:14">
      <c r="A777">
        <v>78</v>
      </c>
      <c r="B777">
        <v>46203</v>
      </c>
      <c r="C777" t="s">
        <v>24</v>
      </c>
      <c r="D777" t="s">
        <v>63</v>
      </c>
      <c r="E777">
        <v>1</v>
      </c>
      <c r="F777">
        <v>46199</v>
      </c>
      <c r="G777" t="s">
        <v>63</v>
      </c>
      <c r="H777" t="s">
        <v>60</v>
      </c>
      <c r="I777">
        <v>1</v>
      </c>
      <c r="J777">
        <v>4</v>
      </c>
      <c r="K777" t="s">
        <v>69</v>
      </c>
      <c r="L777">
        <v>0</v>
      </c>
      <c r="M777" t="s">
        <v>242</v>
      </c>
      <c r="N777">
        <v>1399</v>
      </c>
    </row>
    <row r="778" spans="1:14">
      <c r="A778">
        <v>78</v>
      </c>
      <c r="B778">
        <v>46203</v>
      </c>
      <c r="C778" t="s">
        <v>24</v>
      </c>
      <c r="D778" t="s">
        <v>63</v>
      </c>
      <c r="E778">
        <v>2</v>
      </c>
      <c r="F778">
        <v>46195</v>
      </c>
      <c r="G778" t="s">
        <v>63</v>
      </c>
      <c r="H778" t="s">
        <v>61</v>
      </c>
      <c r="I778">
        <v>3</v>
      </c>
      <c r="J778">
        <v>2</v>
      </c>
      <c r="K778" t="s">
        <v>171</v>
      </c>
      <c r="L778">
        <v>1</v>
      </c>
      <c r="M778" t="s">
        <v>242</v>
      </c>
      <c r="N778">
        <v>1376</v>
      </c>
    </row>
    <row r="779" spans="1:14">
      <c r="A779">
        <v>78</v>
      </c>
      <c r="B779">
        <v>46203</v>
      </c>
      <c r="C779" t="s">
        <v>24</v>
      </c>
      <c r="D779" t="s">
        <v>63</v>
      </c>
      <c r="E779">
        <v>3</v>
      </c>
      <c r="F779">
        <v>46189</v>
      </c>
      <c r="G779" t="s">
        <v>63</v>
      </c>
      <c r="H779" t="s">
        <v>62</v>
      </c>
      <c r="I779">
        <v>4</v>
      </c>
      <c r="J779">
        <v>1</v>
      </c>
      <c r="K779" t="s">
        <v>171</v>
      </c>
      <c r="L779">
        <v>1</v>
      </c>
      <c r="M779" t="s">
        <v>242</v>
      </c>
      <c r="N779">
        <v>1352</v>
      </c>
    </row>
    <row r="780" spans="1:14">
      <c r="A780">
        <v>78</v>
      </c>
      <c r="B780">
        <v>46203</v>
      </c>
      <c r="C780" t="s">
        <v>24</v>
      </c>
      <c r="D780" t="s">
        <v>63</v>
      </c>
      <c r="E780">
        <v>4</v>
      </c>
      <c r="F780">
        <v>46180</v>
      </c>
      <c r="G780" t="s">
        <v>63</v>
      </c>
      <c r="H780" t="s">
        <v>36</v>
      </c>
      <c r="I780">
        <v>1</v>
      </c>
      <c r="J780">
        <v>1</v>
      </c>
      <c r="K780" t="s">
        <v>27</v>
      </c>
      <c r="L780">
        <v>0</v>
      </c>
      <c r="M780" t="s">
        <v>172</v>
      </c>
      <c r="N780">
        <v>1303</v>
      </c>
    </row>
    <row r="781" spans="1:14">
      <c r="A781">
        <v>78</v>
      </c>
      <c r="B781">
        <v>46203</v>
      </c>
      <c r="C781" t="s">
        <v>24</v>
      </c>
      <c r="D781" t="s">
        <v>63</v>
      </c>
      <c r="E781">
        <v>5</v>
      </c>
      <c r="F781">
        <v>46174</v>
      </c>
      <c r="G781" t="s">
        <v>63</v>
      </c>
      <c r="H781" t="s">
        <v>47</v>
      </c>
      <c r="I781">
        <v>3</v>
      </c>
      <c r="J781">
        <v>1</v>
      </c>
      <c r="K781" t="s">
        <v>171</v>
      </c>
      <c r="L781">
        <v>1</v>
      </c>
      <c r="M781" t="s">
        <v>172</v>
      </c>
      <c r="N781">
        <v>1211</v>
      </c>
    </row>
    <row r="782" spans="1:14">
      <c r="A782">
        <v>79</v>
      </c>
      <c r="B782">
        <v>46203</v>
      </c>
      <c r="C782" t="s">
        <v>19</v>
      </c>
      <c r="D782" t="s">
        <v>20</v>
      </c>
      <c r="E782">
        <v>1</v>
      </c>
      <c r="F782">
        <v>46197</v>
      </c>
      <c r="G782" t="s">
        <v>20</v>
      </c>
      <c r="H782" t="s">
        <v>181</v>
      </c>
      <c r="I782">
        <v>3</v>
      </c>
      <c r="J782">
        <v>0</v>
      </c>
      <c r="K782" t="s">
        <v>171</v>
      </c>
      <c r="L782">
        <v>1</v>
      </c>
      <c r="M782" t="s">
        <v>242</v>
      </c>
      <c r="N782">
        <v>1383</v>
      </c>
    </row>
    <row r="783" spans="1:14">
      <c r="A783">
        <v>79</v>
      </c>
      <c r="B783">
        <v>46203</v>
      </c>
      <c r="C783" t="s">
        <v>19</v>
      </c>
      <c r="D783" t="s">
        <v>20</v>
      </c>
      <c r="E783">
        <v>2</v>
      </c>
      <c r="F783">
        <v>46191</v>
      </c>
      <c r="G783" t="s">
        <v>20</v>
      </c>
      <c r="H783" t="s">
        <v>177</v>
      </c>
      <c r="I783">
        <v>1</v>
      </c>
      <c r="J783">
        <v>0</v>
      </c>
      <c r="K783" t="s">
        <v>171</v>
      </c>
      <c r="L783">
        <v>1</v>
      </c>
      <c r="M783" t="s">
        <v>242</v>
      </c>
      <c r="N783">
        <v>1360</v>
      </c>
    </row>
    <row r="784" spans="1:14">
      <c r="A784">
        <v>79</v>
      </c>
      <c r="B784">
        <v>46203</v>
      </c>
      <c r="C784" t="s">
        <v>19</v>
      </c>
      <c r="D784" t="s">
        <v>20</v>
      </c>
      <c r="E784">
        <v>3</v>
      </c>
      <c r="F784">
        <v>46184</v>
      </c>
      <c r="G784" t="s">
        <v>20</v>
      </c>
      <c r="H784" t="s">
        <v>21</v>
      </c>
      <c r="I784">
        <v>2</v>
      </c>
      <c r="J784">
        <v>0</v>
      </c>
      <c r="K784" t="s">
        <v>171</v>
      </c>
      <c r="L784">
        <v>1</v>
      </c>
      <c r="M784" t="s">
        <v>242</v>
      </c>
      <c r="N784">
        <v>1335</v>
      </c>
    </row>
    <row r="785" spans="1:14">
      <c r="A785">
        <v>79</v>
      </c>
      <c r="B785">
        <v>46203</v>
      </c>
      <c r="C785" t="s">
        <v>19</v>
      </c>
      <c r="D785" t="s">
        <v>20</v>
      </c>
      <c r="E785">
        <v>4</v>
      </c>
      <c r="F785">
        <v>46177</v>
      </c>
      <c r="G785" t="s">
        <v>20</v>
      </c>
      <c r="H785" t="s">
        <v>170</v>
      </c>
      <c r="I785">
        <v>5</v>
      </c>
      <c r="J785">
        <v>1</v>
      </c>
      <c r="K785" t="s">
        <v>171</v>
      </c>
      <c r="L785">
        <v>1</v>
      </c>
      <c r="M785" t="s">
        <v>172</v>
      </c>
      <c r="N785">
        <v>1242</v>
      </c>
    </row>
    <row r="786" spans="1:14">
      <c r="A786">
        <v>79</v>
      </c>
      <c r="B786">
        <v>46203</v>
      </c>
      <c r="C786" t="s">
        <v>19</v>
      </c>
      <c r="D786" t="s">
        <v>20</v>
      </c>
      <c r="E786">
        <v>5</v>
      </c>
      <c r="F786">
        <v>46172</v>
      </c>
      <c r="G786" t="s">
        <v>20</v>
      </c>
      <c r="H786" t="s">
        <v>33</v>
      </c>
      <c r="I786">
        <v>1</v>
      </c>
      <c r="J786">
        <v>0</v>
      </c>
      <c r="K786" t="s">
        <v>171</v>
      </c>
      <c r="L786">
        <v>1</v>
      </c>
      <c r="M786" t="s">
        <v>172</v>
      </c>
      <c r="N786">
        <v>1194</v>
      </c>
    </row>
    <row r="787" spans="1:14">
      <c r="A787">
        <v>79</v>
      </c>
      <c r="B787">
        <v>46203</v>
      </c>
      <c r="C787" t="s">
        <v>24</v>
      </c>
      <c r="D787" t="s">
        <v>41</v>
      </c>
      <c r="E787">
        <v>1</v>
      </c>
      <c r="F787">
        <v>46198</v>
      </c>
      <c r="G787" t="s">
        <v>41</v>
      </c>
      <c r="H787" t="s">
        <v>42</v>
      </c>
      <c r="I787">
        <v>2</v>
      </c>
      <c r="J787">
        <v>1</v>
      </c>
      <c r="K787" t="s">
        <v>171</v>
      </c>
      <c r="L787">
        <v>1</v>
      </c>
      <c r="M787" t="s">
        <v>242</v>
      </c>
      <c r="N787">
        <v>1392</v>
      </c>
    </row>
    <row r="788" spans="1:14">
      <c r="A788">
        <v>79</v>
      </c>
      <c r="B788">
        <v>46203</v>
      </c>
      <c r="C788" t="s">
        <v>24</v>
      </c>
      <c r="D788" t="s">
        <v>41</v>
      </c>
      <c r="E788">
        <v>2</v>
      </c>
      <c r="F788">
        <v>46193</v>
      </c>
      <c r="G788" t="s">
        <v>41</v>
      </c>
      <c r="H788" t="s">
        <v>43</v>
      </c>
      <c r="I788">
        <v>0</v>
      </c>
      <c r="J788">
        <v>0</v>
      </c>
      <c r="K788" t="s">
        <v>27</v>
      </c>
      <c r="L788">
        <v>0</v>
      </c>
      <c r="M788" t="s">
        <v>242</v>
      </c>
      <c r="N788">
        <v>1368</v>
      </c>
    </row>
    <row r="789" spans="1:14">
      <c r="A789">
        <v>79</v>
      </c>
      <c r="B789">
        <v>46203</v>
      </c>
      <c r="C789" t="s">
        <v>24</v>
      </c>
      <c r="D789" t="s">
        <v>41</v>
      </c>
      <c r="E789">
        <v>3</v>
      </c>
      <c r="F789">
        <v>46187</v>
      </c>
      <c r="G789" t="s">
        <v>41</v>
      </c>
      <c r="H789" t="s">
        <v>180</v>
      </c>
      <c r="I789">
        <v>0</v>
      </c>
      <c r="J789">
        <v>1</v>
      </c>
      <c r="K789" t="s">
        <v>69</v>
      </c>
      <c r="L789">
        <v>0</v>
      </c>
      <c r="M789" t="s">
        <v>242</v>
      </c>
      <c r="N789">
        <v>1344</v>
      </c>
    </row>
    <row r="790" spans="1:14">
      <c r="A790">
        <v>79</v>
      </c>
      <c r="B790">
        <v>46203</v>
      </c>
      <c r="C790" t="s">
        <v>24</v>
      </c>
      <c r="D790" t="s">
        <v>41</v>
      </c>
      <c r="E790">
        <v>4</v>
      </c>
      <c r="F790">
        <v>46180</v>
      </c>
      <c r="G790" t="s">
        <v>41</v>
      </c>
      <c r="H790" t="s">
        <v>182</v>
      </c>
      <c r="I790">
        <v>3</v>
      </c>
      <c r="J790">
        <v>0</v>
      </c>
      <c r="K790" t="s">
        <v>171</v>
      </c>
      <c r="L790">
        <v>1</v>
      </c>
      <c r="M790" t="s">
        <v>172</v>
      </c>
      <c r="N790">
        <v>1298</v>
      </c>
    </row>
    <row r="791" spans="1:14">
      <c r="A791">
        <v>79</v>
      </c>
      <c r="B791">
        <v>46203</v>
      </c>
      <c r="C791" t="s">
        <v>24</v>
      </c>
      <c r="D791" t="s">
        <v>41</v>
      </c>
      <c r="E791">
        <v>5</v>
      </c>
      <c r="F791">
        <v>46172</v>
      </c>
      <c r="G791" t="s">
        <v>41</v>
      </c>
      <c r="H791" t="s">
        <v>50</v>
      </c>
      <c r="I791">
        <v>2</v>
      </c>
      <c r="J791">
        <v>1</v>
      </c>
      <c r="K791" t="s">
        <v>171</v>
      </c>
      <c r="L791">
        <v>1</v>
      </c>
      <c r="M791" t="s">
        <v>172</v>
      </c>
      <c r="N791">
        <v>1192</v>
      </c>
    </row>
    <row r="792" spans="1:14">
      <c r="A792">
        <v>80</v>
      </c>
      <c r="B792">
        <v>46204</v>
      </c>
      <c r="C792" t="s">
        <v>19</v>
      </c>
      <c r="D792" t="s">
        <v>72</v>
      </c>
      <c r="E792">
        <v>1</v>
      </c>
      <c r="F792">
        <v>46200</v>
      </c>
      <c r="G792" t="s">
        <v>72</v>
      </c>
      <c r="H792" t="s">
        <v>71</v>
      </c>
      <c r="I792">
        <v>2</v>
      </c>
      <c r="J792">
        <v>0</v>
      </c>
      <c r="K792" t="s">
        <v>171</v>
      </c>
      <c r="L792">
        <v>1</v>
      </c>
      <c r="M792" t="s">
        <v>242</v>
      </c>
      <c r="N792">
        <v>1405</v>
      </c>
    </row>
    <row r="793" spans="1:14">
      <c r="A793">
        <v>80</v>
      </c>
      <c r="B793">
        <v>46204</v>
      </c>
      <c r="C793" t="s">
        <v>19</v>
      </c>
      <c r="D793" t="s">
        <v>72</v>
      </c>
      <c r="E793">
        <v>2</v>
      </c>
      <c r="F793">
        <v>46196</v>
      </c>
      <c r="G793" t="s">
        <v>72</v>
      </c>
      <c r="H793" t="s">
        <v>70</v>
      </c>
      <c r="I793">
        <v>0</v>
      </c>
      <c r="J793">
        <v>0</v>
      </c>
      <c r="K793" t="s">
        <v>27</v>
      </c>
      <c r="L793">
        <v>0</v>
      </c>
      <c r="M793" t="s">
        <v>242</v>
      </c>
      <c r="N793">
        <v>1381</v>
      </c>
    </row>
    <row r="794" spans="1:14">
      <c r="A794">
        <v>80</v>
      </c>
      <c r="B794">
        <v>46204</v>
      </c>
      <c r="C794" t="s">
        <v>19</v>
      </c>
      <c r="D794" t="s">
        <v>72</v>
      </c>
      <c r="E794">
        <v>3</v>
      </c>
      <c r="F794">
        <v>46190</v>
      </c>
      <c r="G794" t="s">
        <v>72</v>
      </c>
      <c r="H794" t="s">
        <v>73</v>
      </c>
      <c r="I794">
        <v>4</v>
      </c>
      <c r="J794">
        <v>2</v>
      </c>
      <c r="K794" t="s">
        <v>171</v>
      </c>
      <c r="L794">
        <v>1</v>
      </c>
      <c r="M794" t="s">
        <v>242</v>
      </c>
      <c r="N794">
        <v>1357</v>
      </c>
    </row>
    <row r="795" spans="1:14">
      <c r="A795">
        <v>80</v>
      </c>
      <c r="B795">
        <v>46204</v>
      </c>
      <c r="C795" t="s">
        <v>19</v>
      </c>
      <c r="D795" t="s">
        <v>72</v>
      </c>
      <c r="E795">
        <v>4</v>
      </c>
      <c r="F795">
        <v>46183</v>
      </c>
      <c r="G795" t="s">
        <v>72</v>
      </c>
      <c r="H795" t="s">
        <v>223</v>
      </c>
      <c r="I795">
        <v>3</v>
      </c>
      <c r="J795">
        <v>0</v>
      </c>
      <c r="K795" t="s">
        <v>171</v>
      </c>
      <c r="L795">
        <v>1</v>
      </c>
      <c r="M795" t="s">
        <v>172</v>
      </c>
      <c r="N795">
        <v>1332</v>
      </c>
    </row>
    <row r="796" spans="1:14">
      <c r="A796">
        <v>80</v>
      </c>
      <c r="B796">
        <v>46204</v>
      </c>
      <c r="C796" t="s">
        <v>19</v>
      </c>
      <c r="D796" t="s">
        <v>72</v>
      </c>
      <c r="E796">
        <v>5</v>
      </c>
      <c r="F796">
        <v>46179</v>
      </c>
      <c r="G796" t="s">
        <v>72</v>
      </c>
      <c r="H796" t="s">
        <v>56</v>
      </c>
      <c r="I796">
        <v>1</v>
      </c>
      <c r="J796">
        <v>0</v>
      </c>
      <c r="K796" t="s">
        <v>171</v>
      </c>
      <c r="L796">
        <v>1</v>
      </c>
      <c r="M796" t="s">
        <v>172</v>
      </c>
      <c r="N796">
        <v>1280</v>
      </c>
    </row>
    <row r="797" spans="1:14">
      <c r="A797">
        <v>80</v>
      </c>
      <c r="B797">
        <v>46204</v>
      </c>
      <c r="C797" t="s">
        <v>24</v>
      </c>
      <c r="D797" t="s">
        <v>76</v>
      </c>
      <c r="E797">
        <v>1</v>
      </c>
      <c r="F797">
        <v>46200</v>
      </c>
      <c r="G797" t="s">
        <v>240</v>
      </c>
      <c r="H797" t="s">
        <v>77</v>
      </c>
      <c r="I797">
        <v>3</v>
      </c>
      <c r="J797">
        <v>1</v>
      </c>
      <c r="K797" t="s">
        <v>171</v>
      </c>
      <c r="L797">
        <v>1</v>
      </c>
      <c r="M797" t="s">
        <v>242</v>
      </c>
      <c r="N797">
        <v>1404</v>
      </c>
    </row>
    <row r="798" spans="1:14">
      <c r="A798">
        <v>80</v>
      </c>
      <c r="B798">
        <v>46204</v>
      </c>
      <c r="C798" t="s">
        <v>24</v>
      </c>
      <c r="D798" t="s">
        <v>76</v>
      </c>
      <c r="E798">
        <v>2</v>
      </c>
      <c r="F798">
        <v>46196</v>
      </c>
      <c r="G798" t="s">
        <v>240</v>
      </c>
      <c r="H798" t="s">
        <v>78</v>
      </c>
      <c r="I798">
        <v>0</v>
      </c>
      <c r="J798">
        <v>1</v>
      </c>
      <c r="K798" t="s">
        <v>69</v>
      </c>
      <c r="L798">
        <v>0</v>
      </c>
      <c r="M798" t="s">
        <v>242</v>
      </c>
      <c r="N798">
        <v>1380</v>
      </c>
    </row>
    <row r="799" spans="1:14">
      <c r="A799">
        <v>80</v>
      </c>
      <c r="B799">
        <v>46204</v>
      </c>
      <c r="C799" t="s">
        <v>24</v>
      </c>
      <c r="D799" t="s">
        <v>76</v>
      </c>
      <c r="E799">
        <v>3</v>
      </c>
      <c r="F799">
        <v>46190</v>
      </c>
      <c r="G799" t="s">
        <v>240</v>
      </c>
      <c r="H799" t="s">
        <v>75</v>
      </c>
      <c r="I799">
        <v>1</v>
      </c>
      <c r="J799">
        <v>1</v>
      </c>
      <c r="K799" t="s">
        <v>27</v>
      </c>
      <c r="L799">
        <v>0</v>
      </c>
      <c r="M799" t="s">
        <v>242</v>
      </c>
      <c r="N799">
        <v>1355</v>
      </c>
    </row>
    <row r="800" spans="1:14">
      <c r="A800">
        <v>80</v>
      </c>
      <c r="B800">
        <v>46204</v>
      </c>
      <c r="C800" t="s">
        <v>24</v>
      </c>
      <c r="D800" t="s">
        <v>76</v>
      </c>
      <c r="E800">
        <v>4</v>
      </c>
      <c r="F800">
        <v>46182</v>
      </c>
      <c r="G800" t="s">
        <v>240</v>
      </c>
      <c r="H800" t="s">
        <v>219</v>
      </c>
      <c r="I800">
        <v>1</v>
      </c>
      <c r="J800">
        <v>2</v>
      </c>
      <c r="K800" t="s">
        <v>69</v>
      </c>
      <c r="L800">
        <v>0</v>
      </c>
      <c r="M800" t="s">
        <v>172</v>
      </c>
      <c r="N800">
        <v>1316</v>
      </c>
    </row>
    <row r="801" spans="1:14">
      <c r="A801">
        <v>80</v>
      </c>
      <c r="B801">
        <v>46204</v>
      </c>
      <c r="C801" t="s">
        <v>24</v>
      </c>
      <c r="D801" t="s">
        <v>76</v>
      </c>
      <c r="E801">
        <v>5</v>
      </c>
      <c r="F801">
        <v>46176</v>
      </c>
      <c r="G801" t="s">
        <v>240</v>
      </c>
      <c r="H801" t="s">
        <v>184</v>
      </c>
      <c r="I801">
        <v>0</v>
      </c>
      <c r="J801">
        <v>0</v>
      </c>
      <c r="K801" t="s">
        <v>27</v>
      </c>
      <c r="L801">
        <v>0</v>
      </c>
      <c r="M801" t="s">
        <v>172</v>
      </c>
      <c r="N801">
        <v>1225</v>
      </c>
    </row>
    <row r="802" spans="1:14">
      <c r="A802">
        <v>81</v>
      </c>
      <c r="B802">
        <v>46204</v>
      </c>
      <c r="C802" t="s">
        <v>19</v>
      </c>
      <c r="D802" t="s">
        <v>28</v>
      </c>
      <c r="E802">
        <v>1</v>
      </c>
      <c r="F802">
        <v>46198</v>
      </c>
      <c r="G802" t="s">
        <v>193</v>
      </c>
      <c r="H802" t="s">
        <v>198</v>
      </c>
      <c r="I802">
        <v>2</v>
      </c>
      <c r="J802">
        <v>3</v>
      </c>
      <c r="K802" t="s">
        <v>69</v>
      </c>
      <c r="L802">
        <v>0</v>
      </c>
      <c r="M802" t="s">
        <v>242</v>
      </c>
      <c r="N802">
        <v>1389</v>
      </c>
    </row>
    <row r="803" spans="1:14">
      <c r="A803">
        <v>81</v>
      </c>
      <c r="B803">
        <v>46204</v>
      </c>
      <c r="C803" t="s">
        <v>19</v>
      </c>
      <c r="D803" t="s">
        <v>28</v>
      </c>
      <c r="E803">
        <v>2</v>
      </c>
      <c r="F803">
        <v>46192</v>
      </c>
      <c r="G803" t="s">
        <v>193</v>
      </c>
      <c r="H803" t="s">
        <v>33</v>
      </c>
      <c r="I803">
        <v>2</v>
      </c>
      <c r="J803">
        <v>0</v>
      </c>
      <c r="K803" t="s">
        <v>171</v>
      </c>
      <c r="L803">
        <v>1</v>
      </c>
      <c r="M803" t="s">
        <v>242</v>
      </c>
      <c r="N803">
        <v>1365</v>
      </c>
    </row>
    <row r="804" spans="1:14">
      <c r="A804">
        <v>81</v>
      </c>
      <c r="B804">
        <v>46204</v>
      </c>
      <c r="C804" t="s">
        <v>19</v>
      </c>
      <c r="D804" t="s">
        <v>28</v>
      </c>
      <c r="E804">
        <v>3</v>
      </c>
      <c r="F804">
        <v>46185</v>
      </c>
      <c r="G804" t="s">
        <v>193</v>
      </c>
      <c r="H804" t="s">
        <v>29</v>
      </c>
      <c r="I804">
        <v>4</v>
      </c>
      <c r="J804">
        <v>1</v>
      </c>
      <c r="K804" t="s">
        <v>171</v>
      </c>
      <c r="L804">
        <v>1</v>
      </c>
      <c r="M804" t="s">
        <v>242</v>
      </c>
      <c r="N804">
        <v>1338</v>
      </c>
    </row>
    <row r="805" spans="1:14">
      <c r="A805">
        <v>81</v>
      </c>
      <c r="B805">
        <v>46204</v>
      </c>
      <c r="C805" t="s">
        <v>19</v>
      </c>
      <c r="D805" t="s">
        <v>28</v>
      </c>
      <c r="E805">
        <v>4</v>
      </c>
      <c r="F805">
        <v>46179</v>
      </c>
      <c r="G805" t="s">
        <v>193</v>
      </c>
      <c r="H805" t="s">
        <v>42</v>
      </c>
      <c r="I805">
        <v>1</v>
      </c>
      <c r="J805">
        <v>2</v>
      </c>
      <c r="K805" t="s">
        <v>69</v>
      </c>
      <c r="L805">
        <v>0</v>
      </c>
      <c r="M805" t="s">
        <v>172</v>
      </c>
      <c r="N805">
        <v>1289</v>
      </c>
    </row>
    <row r="806" spans="1:14">
      <c r="A806">
        <v>81</v>
      </c>
      <c r="B806">
        <v>46204</v>
      </c>
      <c r="C806" t="s">
        <v>19</v>
      </c>
      <c r="D806" t="s">
        <v>28</v>
      </c>
      <c r="E806">
        <v>5</v>
      </c>
      <c r="F806">
        <v>46173</v>
      </c>
      <c r="G806" t="s">
        <v>193</v>
      </c>
      <c r="H806" t="s">
        <v>61</v>
      </c>
      <c r="I806">
        <v>3</v>
      </c>
      <c r="J806">
        <v>2</v>
      </c>
      <c r="K806" t="s">
        <v>171</v>
      </c>
      <c r="L806">
        <v>1</v>
      </c>
      <c r="M806" t="s">
        <v>172</v>
      </c>
      <c r="N806">
        <v>1205</v>
      </c>
    </row>
    <row r="807" spans="1:14">
      <c r="A807">
        <v>81</v>
      </c>
      <c r="B807">
        <v>46204</v>
      </c>
      <c r="C807" t="s">
        <v>24</v>
      </c>
      <c r="D807" t="s">
        <v>26</v>
      </c>
      <c r="E807">
        <v>1</v>
      </c>
      <c r="F807">
        <v>46197</v>
      </c>
      <c r="G807" t="s">
        <v>26</v>
      </c>
      <c r="H807" t="s">
        <v>37</v>
      </c>
      <c r="I807">
        <v>3</v>
      </c>
      <c r="J807">
        <v>1</v>
      </c>
      <c r="K807" t="s">
        <v>171</v>
      </c>
      <c r="L807">
        <v>1</v>
      </c>
      <c r="M807" t="s">
        <v>242</v>
      </c>
      <c r="N807">
        <v>1386</v>
      </c>
    </row>
    <row r="808" spans="1:14">
      <c r="A808">
        <v>81</v>
      </c>
      <c r="B808">
        <v>46204</v>
      </c>
      <c r="C808" t="s">
        <v>24</v>
      </c>
      <c r="D808" t="s">
        <v>26</v>
      </c>
      <c r="E808">
        <v>2</v>
      </c>
      <c r="F808">
        <v>46191</v>
      </c>
      <c r="G808" t="s">
        <v>26</v>
      </c>
      <c r="H808" t="s">
        <v>38</v>
      </c>
      <c r="I808">
        <v>1</v>
      </c>
      <c r="J808">
        <v>4</v>
      </c>
      <c r="K808" t="s">
        <v>69</v>
      </c>
      <c r="L808">
        <v>0</v>
      </c>
      <c r="M808" t="s">
        <v>242</v>
      </c>
      <c r="N808">
        <v>1361</v>
      </c>
    </row>
    <row r="809" spans="1:14">
      <c r="A809">
        <v>81</v>
      </c>
      <c r="B809">
        <v>46204</v>
      </c>
      <c r="C809" t="s">
        <v>24</v>
      </c>
      <c r="D809" t="s">
        <v>26</v>
      </c>
      <c r="E809">
        <v>3</v>
      </c>
      <c r="F809">
        <v>46185</v>
      </c>
      <c r="G809" t="s">
        <v>26</v>
      </c>
      <c r="H809" t="s">
        <v>25</v>
      </c>
      <c r="I809">
        <v>1</v>
      </c>
      <c r="J809">
        <v>1</v>
      </c>
      <c r="K809" t="s">
        <v>27</v>
      </c>
      <c r="L809">
        <v>0</v>
      </c>
      <c r="M809" t="s">
        <v>242</v>
      </c>
      <c r="N809">
        <v>1337</v>
      </c>
    </row>
    <row r="810" spans="1:14">
      <c r="A810">
        <v>81</v>
      </c>
      <c r="B810">
        <v>46204</v>
      </c>
      <c r="C810" t="s">
        <v>24</v>
      </c>
      <c r="D810" t="s">
        <v>26</v>
      </c>
      <c r="E810">
        <v>4</v>
      </c>
      <c r="F810">
        <v>46179</v>
      </c>
      <c r="G810" t="s">
        <v>26</v>
      </c>
      <c r="H810" t="s">
        <v>71</v>
      </c>
      <c r="I810">
        <v>1</v>
      </c>
      <c r="J810">
        <v>1</v>
      </c>
      <c r="K810" t="s">
        <v>27</v>
      </c>
      <c r="L810">
        <v>0</v>
      </c>
      <c r="M810" t="s">
        <v>172</v>
      </c>
      <c r="N810">
        <v>1285</v>
      </c>
    </row>
    <row r="811" spans="1:14">
      <c r="A811">
        <v>81</v>
      </c>
      <c r="B811">
        <v>46204</v>
      </c>
      <c r="C811" t="s">
        <v>24</v>
      </c>
      <c r="D811" t="s">
        <v>26</v>
      </c>
      <c r="E811">
        <v>5</v>
      </c>
      <c r="F811">
        <v>46171</v>
      </c>
      <c r="G811" t="s">
        <v>26</v>
      </c>
      <c r="H811" t="s">
        <v>190</v>
      </c>
      <c r="I811">
        <v>0</v>
      </c>
      <c r="J811">
        <v>0</v>
      </c>
      <c r="K811" t="s">
        <v>27</v>
      </c>
      <c r="L811">
        <v>0</v>
      </c>
      <c r="M811" t="s">
        <v>172</v>
      </c>
      <c r="N811">
        <v>1189</v>
      </c>
    </row>
    <row r="812" spans="1:14">
      <c r="A812">
        <v>82</v>
      </c>
      <c r="B812">
        <v>46204</v>
      </c>
      <c r="C812" t="s">
        <v>19</v>
      </c>
      <c r="D812" t="s">
        <v>57</v>
      </c>
      <c r="E812">
        <v>1</v>
      </c>
      <c r="F812">
        <v>46199</v>
      </c>
      <c r="G812" t="s">
        <v>57</v>
      </c>
      <c r="H812" t="s">
        <v>56</v>
      </c>
      <c r="I812">
        <v>5</v>
      </c>
      <c r="J812">
        <v>1</v>
      </c>
      <c r="K812" t="s">
        <v>171</v>
      </c>
      <c r="L812">
        <v>1</v>
      </c>
      <c r="M812" t="s">
        <v>242</v>
      </c>
      <c r="N812">
        <v>1396</v>
      </c>
    </row>
    <row r="813" spans="1:14">
      <c r="A813">
        <v>82</v>
      </c>
      <c r="B813">
        <v>46204</v>
      </c>
      <c r="C813" t="s">
        <v>19</v>
      </c>
      <c r="D813" t="s">
        <v>57</v>
      </c>
      <c r="E813">
        <v>2</v>
      </c>
      <c r="F813">
        <v>46194</v>
      </c>
      <c r="G813" t="s">
        <v>57</v>
      </c>
      <c r="H813" t="s">
        <v>221</v>
      </c>
      <c r="I813">
        <v>0</v>
      </c>
      <c r="J813">
        <v>0</v>
      </c>
      <c r="K813" t="s">
        <v>27</v>
      </c>
      <c r="L813">
        <v>0</v>
      </c>
      <c r="M813" t="s">
        <v>242</v>
      </c>
      <c r="N813">
        <v>1371</v>
      </c>
    </row>
    <row r="814" spans="1:14">
      <c r="A814">
        <v>82</v>
      </c>
      <c r="B814">
        <v>46204</v>
      </c>
      <c r="C814" t="s">
        <v>19</v>
      </c>
      <c r="D814" t="s">
        <v>57</v>
      </c>
      <c r="E814">
        <v>3</v>
      </c>
      <c r="F814">
        <v>46188</v>
      </c>
      <c r="G814" t="s">
        <v>57</v>
      </c>
      <c r="H814" t="s">
        <v>58</v>
      </c>
      <c r="I814">
        <v>1</v>
      </c>
      <c r="J814">
        <v>1</v>
      </c>
      <c r="K814" t="s">
        <v>27</v>
      </c>
      <c r="L814">
        <v>0</v>
      </c>
      <c r="M814" t="s">
        <v>242</v>
      </c>
      <c r="N814">
        <v>1347</v>
      </c>
    </row>
    <row r="815" spans="1:14">
      <c r="A815">
        <v>82</v>
      </c>
      <c r="B815">
        <v>46204</v>
      </c>
      <c r="C815" t="s">
        <v>19</v>
      </c>
      <c r="D815" t="s">
        <v>57</v>
      </c>
      <c r="E815">
        <v>4</v>
      </c>
      <c r="F815">
        <v>46179</v>
      </c>
      <c r="G815" t="s">
        <v>57</v>
      </c>
      <c r="H815" t="s">
        <v>48</v>
      </c>
      <c r="I815">
        <v>5</v>
      </c>
      <c r="J815">
        <v>0</v>
      </c>
      <c r="K815" t="s">
        <v>171</v>
      </c>
      <c r="L815">
        <v>1</v>
      </c>
      <c r="M815" t="s">
        <v>172</v>
      </c>
      <c r="N815">
        <v>1275</v>
      </c>
    </row>
    <row r="816" spans="1:14">
      <c r="A816">
        <v>82</v>
      </c>
      <c r="B816">
        <v>46204</v>
      </c>
      <c r="C816" t="s">
        <v>19</v>
      </c>
      <c r="D816" t="s">
        <v>57</v>
      </c>
      <c r="E816">
        <v>5</v>
      </c>
      <c r="F816">
        <v>46175</v>
      </c>
      <c r="G816" t="s">
        <v>57</v>
      </c>
      <c r="H816" t="s">
        <v>73</v>
      </c>
      <c r="I816">
        <v>2</v>
      </c>
      <c r="J816">
        <v>0</v>
      </c>
      <c r="K816" t="s">
        <v>171</v>
      </c>
      <c r="L816">
        <v>1</v>
      </c>
      <c r="M816" t="s">
        <v>172</v>
      </c>
      <c r="N816">
        <v>1215</v>
      </c>
    </row>
    <row r="817" spans="1:14">
      <c r="A817">
        <v>82</v>
      </c>
      <c r="B817">
        <v>46204</v>
      </c>
      <c r="C817" t="s">
        <v>24</v>
      </c>
      <c r="D817" t="s">
        <v>61</v>
      </c>
      <c r="E817">
        <v>1</v>
      </c>
      <c r="F817">
        <v>46199</v>
      </c>
      <c r="G817" t="s">
        <v>61</v>
      </c>
      <c r="H817" t="s">
        <v>62</v>
      </c>
      <c r="I817">
        <v>5</v>
      </c>
      <c r="J817">
        <v>0</v>
      </c>
      <c r="K817" t="s">
        <v>171</v>
      </c>
      <c r="L817">
        <v>1</v>
      </c>
      <c r="M817" t="s">
        <v>242</v>
      </c>
      <c r="N817">
        <v>1400</v>
      </c>
    </row>
    <row r="818" spans="1:14">
      <c r="A818">
        <v>82</v>
      </c>
      <c r="B818">
        <v>46204</v>
      </c>
      <c r="C818" t="s">
        <v>24</v>
      </c>
      <c r="D818" t="s">
        <v>61</v>
      </c>
      <c r="E818">
        <v>2</v>
      </c>
      <c r="F818">
        <v>46195</v>
      </c>
      <c r="G818" t="s">
        <v>61</v>
      </c>
      <c r="H818" t="s">
        <v>63</v>
      </c>
      <c r="I818">
        <v>2</v>
      </c>
      <c r="J818">
        <v>3</v>
      </c>
      <c r="K818" t="s">
        <v>69</v>
      </c>
      <c r="L818">
        <v>0</v>
      </c>
      <c r="M818" t="s">
        <v>242</v>
      </c>
      <c r="N818">
        <v>1376</v>
      </c>
    </row>
    <row r="819" spans="1:14">
      <c r="A819">
        <v>82</v>
      </c>
      <c r="B819">
        <v>46204</v>
      </c>
      <c r="C819" t="s">
        <v>24</v>
      </c>
      <c r="D819" t="s">
        <v>61</v>
      </c>
      <c r="E819">
        <v>3</v>
      </c>
      <c r="F819">
        <v>46189</v>
      </c>
      <c r="G819" t="s">
        <v>61</v>
      </c>
      <c r="H819" t="s">
        <v>60</v>
      </c>
      <c r="I819">
        <v>1</v>
      </c>
      <c r="J819">
        <v>3</v>
      </c>
      <c r="K819" t="s">
        <v>69</v>
      </c>
      <c r="L819">
        <v>0</v>
      </c>
      <c r="M819" t="s">
        <v>242</v>
      </c>
      <c r="N819">
        <v>1351</v>
      </c>
    </row>
    <row r="820" spans="1:14">
      <c r="A820">
        <v>82</v>
      </c>
      <c r="B820">
        <v>46204</v>
      </c>
      <c r="C820" t="s">
        <v>24</v>
      </c>
      <c r="D820" t="s">
        <v>61</v>
      </c>
      <c r="E820">
        <v>4</v>
      </c>
      <c r="F820">
        <v>46182</v>
      </c>
      <c r="G820" t="s">
        <v>61</v>
      </c>
      <c r="H820" t="s">
        <v>50</v>
      </c>
      <c r="I820">
        <v>0</v>
      </c>
      <c r="J820">
        <v>0</v>
      </c>
      <c r="K820" t="s">
        <v>27</v>
      </c>
      <c r="L820">
        <v>0</v>
      </c>
      <c r="M820" t="s">
        <v>172</v>
      </c>
      <c r="N820">
        <v>1322</v>
      </c>
    </row>
    <row r="821" spans="1:14">
      <c r="A821">
        <v>82</v>
      </c>
      <c r="B821">
        <v>46204</v>
      </c>
      <c r="C821" t="s">
        <v>24</v>
      </c>
      <c r="D821" t="s">
        <v>61</v>
      </c>
      <c r="E821">
        <v>5</v>
      </c>
      <c r="F821">
        <v>46173</v>
      </c>
      <c r="G821" t="s">
        <v>61</v>
      </c>
      <c r="H821" t="s">
        <v>193</v>
      </c>
      <c r="I821">
        <v>2</v>
      </c>
      <c r="J821">
        <v>3</v>
      </c>
      <c r="K821" t="s">
        <v>69</v>
      </c>
      <c r="L821">
        <v>0</v>
      </c>
      <c r="M821" t="s">
        <v>172</v>
      </c>
      <c r="N821">
        <v>1205</v>
      </c>
    </row>
    <row r="822" spans="1:14">
      <c r="A822">
        <v>83</v>
      </c>
      <c r="B822">
        <v>46205</v>
      </c>
      <c r="C822" t="s">
        <v>19</v>
      </c>
      <c r="D822" t="s">
        <v>75</v>
      </c>
      <c r="E822">
        <v>1</v>
      </c>
      <c r="F822">
        <v>46200</v>
      </c>
      <c r="G822" t="s">
        <v>75</v>
      </c>
      <c r="H822" t="s">
        <v>78</v>
      </c>
      <c r="I822">
        <v>0</v>
      </c>
      <c r="J822">
        <v>0</v>
      </c>
      <c r="K822" t="s">
        <v>27</v>
      </c>
      <c r="L822">
        <v>0</v>
      </c>
      <c r="M822" t="s">
        <v>242</v>
      </c>
      <c r="N822">
        <v>1403</v>
      </c>
    </row>
    <row r="823" spans="1:14">
      <c r="A823">
        <v>83</v>
      </c>
      <c r="B823">
        <v>46205</v>
      </c>
      <c r="C823" t="s">
        <v>19</v>
      </c>
      <c r="D823" t="s">
        <v>75</v>
      </c>
      <c r="E823">
        <v>2</v>
      </c>
      <c r="F823">
        <v>46196</v>
      </c>
      <c r="G823" t="s">
        <v>75</v>
      </c>
      <c r="H823" t="s">
        <v>77</v>
      </c>
      <c r="I823">
        <v>5</v>
      </c>
      <c r="J823">
        <v>0</v>
      </c>
      <c r="K823" t="s">
        <v>171</v>
      </c>
      <c r="L823">
        <v>1</v>
      </c>
      <c r="M823" t="s">
        <v>242</v>
      </c>
      <c r="N823">
        <v>1379</v>
      </c>
    </row>
    <row r="824" spans="1:14">
      <c r="A824">
        <v>83</v>
      </c>
      <c r="B824">
        <v>46205</v>
      </c>
      <c r="C824" t="s">
        <v>19</v>
      </c>
      <c r="D824" t="s">
        <v>75</v>
      </c>
      <c r="E824">
        <v>3</v>
      </c>
      <c r="F824">
        <v>46190</v>
      </c>
      <c r="G824" t="s">
        <v>75</v>
      </c>
      <c r="H824" t="s">
        <v>240</v>
      </c>
      <c r="I824">
        <v>1</v>
      </c>
      <c r="J824">
        <v>1</v>
      </c>
      <c r="K824" t="s">
        <v>27</v>
      </c>
      <c r="L824">
        <v>0</v>
      </c>
      <c r="M824" t="s">
        <v>242</v>
      </c>
      <c r="N824">
        <v>1355</v>
      </c>
    </row>
    <row r="825" spans="1:14">
      <c r="A825">
        <v>83</v>
      </c>
      <c r="B825">
        <v>46205</v>
      </c>
      <c r="C825" t="s">
        <v>19</v>
      </c>
      <c r="D825" t="s">
        <v>75</v>
      </c>
      <c r="E825">
        <v>4</v>
      </c>
      <c r="F825">
        <v>46183</v>
      </c>
      <c r="G825" t="s">
        <v>75</v>
      </c>
      <c r="H825" t="s">
        <v>225</v>
      </c>
      <c r="I825">
        <v>2</v>
      </c>
      <c r="J825">
        <v>1</v>
      </c>
      <c r="K825" t="s">
        <v>171</v>
      </c>
      <c r="L825">
        <v>1</v>
      </c>
      <c r="M825" t="s">
        <v>172</v>
      </c>
      <c r="N825">
        <v>1333</v>
      </c>
    </row>
    <row r="826" spans="1:14">
      <c r="A826">
        <v>83</v>
      </c>
      <c r="B826">
        <v>46205</v>
      </c>
      <c r="C826" t="s">
        <v>19</v>
      </c>
      <c r="D826" t="s">
        <v>75</v>
      </c>
      <c r="E826">
        <v>5</v>
      </c>
      <c r="F826">
        <v>46179</v>
      </c>
      <c r="G826" t="s">
        <v>75</v>
      </c>
      <c r="H826" t="s">
        <v>219</v>
      </c>
      <c r="I826">
        <v>2</v>
      </c>
      <c r="J826">
        <v>1</v>
      </c>
      <c r="K826" t="s">
        <v>171</v>
      </c>
      <c r="L826">
        <v>1</v>
      </c>
      <c r="M826" t="s">
        <v>172</v>
      </c>
      <c r="N826">
        <v>1286</v>
      </c>
    </row>
    <row r="827" spans="1:14">
      <c r="A827">
        <v>83</v>
      </c>
      <c r="B827">
        <v>46205</v>
      </c>
      <c r="C827" t="s">
        <v>24</v>
      </c>
      <c r="D827" t="s">
        <v>73</v>
      </c>
      <c r="E827">
        <v>1</v>
      </c>
      <c r="F827">
        <v>46200</v>
      </c>
      <c r="G827" t="s">
        <v>73</v>
      </c>
      <c r="H827" t="s">
        <v>70</v>
      </c>
      <c r="I827">
        <v>2</v>
      </c>
      <c r="J827">
        <v>1</v>
      </c>
      <c r="K827" t="s">
        <v>171</v>
      </c>
      <c r="L827">
        <v>1</v>
      </c>
      <c r="M827" t="s">
        <v>242</v>
      </c>
      <c r="N827">
        <v>1406</v>
      </c>
    </row>
    <row r="828" spans="1:14">
      <c r="A828">
        <v>83</v>
      </c>
      <c r="B828">
        <v>46205</v>
      </c>
      <c r="C828" t="s">
        <v>24</v>
      </c>
      <c r="D828" t="s">
        <v>73</v>
      </c>
      <c r="E828">
        <v>2</v>
      </c>
      <c r="F828">
        <v>46196</v>
      </c>
      <c r="G828" t="s">
        <v>73</v>
      </c>
      <c r="H828" t="s">
        <v>71</v>
      </c>
      <c r="I828">
        <v>1</v>
      </c>
      <c r="J828">
        <v>0</v>
      </c>
      <c r="K828" t="s">
        <v>171</v>
      </c>
      <c r="L828">
        <v>1</v>
      </c>
      <c r="M828" t="s">
        <v>242</v>
      </c>
      <c r="N828">
        <v>1382</v>
      </c>
    </row>
    <row r="829" spans="1:14">
      <c r="A829">
        <v>83</v>
      </c>
      <c r="B829">
        <v>46205</v>
      </c>
      <c r="C829" t="s">
        <v>24</v>
      </c>
      <c r="D829" t="s">
        <v>73</v>
      </c>
      <c r="E829">
        <v>3</v>
      </c>
      <c r="F829">
        <v>46190</v>
      </c>
      <c r="G829" t="s">
        <v>73</v>
      </c>
      <c r="H829" t="s">
        <v>72</v>
      </c>
      <c r="I829">
        <v>2</v>
      </c>
      <c r="J829">
        <v>4</v>
      </c>
      <c r="K829" t="s">
        <v>69</v>
      </c>
      <c r="L829">
        <v>0</v>
      </c>
      <c r="M829" t="s">
        <v>242</v>
      </c>
      <c r="N829">
        <v>1357</v>
      </c>
    </row>
    <row r="830" spans="1:14">
      <c r="A830">
        <v>83</v>
      </c>
      <c r="B830">
        <v>46205</v>
      </c>
      <c r="C830" t="s">
        <v>24</v>
      </c>
      <c r="D830" t="s">
        <v>73</v>
      </c>
      <c r="E830">
        <v>4</v>
      </c>
      <c r="F830">
        <v>46180</v>
      </c>
      <c r="G830" t="s">
        <v>73</v>
      </c>
      <c r="H830" t="s">
        <v>214</v>
      </c>
      <c r="I830">
        <v>2</v>
      </c>
      <c r="J830">
        <v>1</v>
      </c>
      <c r="K830" t="s">
        <v>171</v>
      </c>
      <c r="L830">
        <v>1</v>
      </c>
      <c r="M830" t="s">
        <v>172</v>
      </c>
      <c r="N830">
        <v>1297</v>
      </c>
    </row>
    <row r="831" spans="1:14">
      <c r="A831">
        <v>83</v>
      </c>
      <c r="B831">
        <v>46205</v>
      </c>
      <c r="C831" t="s">
        <v>24</v>
      </c>
      <c r="D831" t="s">
        <v>73</v>
      </c>
      <c r="E831">
        <v>5</v>
      </c>
      <c r="F831">
        <v>46175</v>
      </c>
      <c r="G831" t="s">
        <v>73</v>
      </c>
      <c r="H831" t="s">
        <v>57</v>
      </c>
      <c r="I831">
        <v>0</v>
      </c>
      <c r="J831">
        <v>2</v>
      </c>
      <c r="K831" t="s">
        <v>69</v>
      </c>
      <c r="L831">
        <v>0</v>
      </c>
      <c r="M831" t="s">
        <v>172</v>
      </c>
      <c r="N831">
        <v>1215</v>
      </c>
    </row>
    <row r="832" spans="1:14">
      <c r="A832">
        <v>84</v>
      </c>
      <c r="B832">
        <v>46205</v>
      </c>
      <c r="C832" t="s">
        <v>19</v>
      </c>
      <c r="D832" t="s">
        <v>52</v>
      </c>
      <c r="E832">
        <v>1</v>
      </c>
      <c r="F832">
        <v>46199</v>
      </c>
      <c r="G832" t="s">
        <v>52</v>
      </c>
      <c r="H832" t="s">
        <v>51</v>
      </c>
      <c r="I832">
        <v>1</v>
      </c>
      <c r="J832">
        <v>0</v>
      </c>
      <c r="K832" t="s">
        <v>171</v>
      </c>
      <c r="L832">
        <v>1</v>
      </c>
      <c r="M832" t="s">
        <v>242</v>
      </c>
      <c r="N832">
        <v>1398</v>
      </c>
    </row>
    <row r="833" spans="1:14">
      <c r="A833">
        <v>84</v>
      </c>
      <c r="B833">
        <v>46205</v>
      </c>
      <c r="C833" t="s">
        <v>19</v>
      </c>
      <c r="D833" t="s">
        <v>52</v>
      </c>
      <c r="E833">
        <v>2</v>
      </c>
      <c r="F833">
        <v>46194</v>
      </c>
      <c r="G833" t="s">
        <v>52</v>
      </c>
      <c r="H833" t="s">
        <v>50</v>
      </c>
      <c r="I833">
        <v>4</v>
      </c>
      <c r="J833">
        <v>0</v>
      </c>
      <c r="K833" t="s">
        <v>171</v>
      </c>
      <c r="L833">
        <v>1</v>
      </c>
      <c r="M833" t="s">
        <v>242</v>
      </c>
      <c r="N833">
        <v>1373</v>
      </c>
    </row>
    <row r="834" spans="1:14">
      <c r="A834">
        <v>84</v>
      </c>
      <c r="B834">
        <v>46205</v>
      </c>
      <c r="C834" t="s">
        <v>19</v>
      </c>
      <c r="D834" t="s">
        <v>52</v>
      </c>
      <c r="E834">
        <v>3</v>
      </c>
      <c r="F834">
        <v>46188</v>
      </c>
      <c r="G834" t="s">
        <v>52</v>
      </c>
      <c r="H834" t="s">
        <v>217</v>
      </c>
      <c r="I834">
        <v>0</v>
      </c>
      <c r="J834">
        <v>0</v>
      </c>
      <c r="K834" t="s">
        <v>27</v>
      </c>
      <c r="L834">
        <v>0</v>
      </c>
      <c r="M834" t="s">
        <v>242</v>
      </c>
      <c r="N834">
        <v>1349</v>
      </c>
    </row>
    <row r="835" spans="1:14">
      <c r="A835">
        <v>84</v>
      </c>
      <c r="B835">
        <v>46205</v>
      </c>
      <c r="C835" t="s">
        <v>19</v>
      </c>
      <c r="D835" t="s">
        <v>52</v>
      </c>
      <c r="E835">
        <v>4</v>
      </c>
      <c r="F835">
        <v>46181</v>
      </c>
      <c r="G835" t="s">
        <v>52</v>
      </c>
      <c r="H835" t="s">
        <v>195</v>
      </c>
      <c r="I835">
        <v>3</v>
      </c>
      <c r="J835">
        <v>1</v>
      </c>
      <c r="K835" t="s">
        <v>171</v>
      </c>
      <c r="L835">
        <v>1</v>
      </c>
      <c r="M835" t="s">
        <v>172</v>
      </c>
      <c r="N835">
        <v>1307</v>
      </c>
    </row>
    <row r="836" spans="1:14">
      <c r="A836">
        <v>84</v>
      </c>
      <c r="B836">
        <v>46205</v>
      </c>
      <c r="C836" t="s">
        <v>19</v>
      </c>
      <c r="D836" t="s">
        <v>52</v>
      </c>
      <c r="E836">
        <v>5</v>
      </c>
      <c r="F836">
        <v>46177</v>
      </c>
      <c r="G836" t="s">
        <v>52</v>
      </c>
      <c r="H836" t="s">
        <v>62</v>
      </c>
      <c r="I836">
        <v>1</v>
      </c>
      <c r="J836">
        <v>1</v>
      </c>
      <c r="K836" t="s">
        <v>27</v>
      </c>
      <c r="L836">
        <v>0</v>
      </c>
      <c r="M836" t="s">
        <v>172</v>
      </c>
      <c r="N836">
        <v>1245</v>
      </c>
    </row>
    <row r="837" spans="1:14">
      <c r="A837">
        <v>84</v>
      </c>
      <c r="B837">
        <v>46205</v>
      </c>
      <c r="C837" t="s">
        <v>24</v>
      </c>
      <c r="D837" t="s">
        <v>67</v>
      </c>
      <c r="E837">
        <v>1</v>
      </c>
      <c r="F837">
        <v>46200</v>
      </c>
      <c r="G837" t="s">
        <v>67</v>
      </c>
      <c r="H837" t="s">
        <v>66</v>
      </c>
      <c r="I837">
        <v>3</v>
      </c>
      <c r="J837">
        <v>3</v>
      </c>
      <c r="K837" t="s">
        <v>27</v>
      </c>
      <c r="L837">
        <v>0</v>
      </c>
      <c r="M837" t="s">
        <v>242</v>
      </c>
      <c r="N837">
        <v>1401</v>
      </c>
    </row>
    <row r="838" spans="1:14">
      <c r="A838">
        <v>84</v>
      </c>
      <c r="B838">
        <v>46205</v>
      </c>
      <c r="C838" t="s">
        <v>24</v>
      </c>
      <c r="D838" t="s">
        <v>67</v>
      </c>
      <c r="E838">
        <v>2</v>
      </c>
      <c r="F838">
        <v>46195</v>
      </c>
      <c r="G838" t="s">
        <v>67</v>
      </c>
      <c r="H838" t="s">
        <v>65</v>
      </c>
      <c r="I838">
        <v>0</v>
      </c>
      <c r="J838">
        <v>2</v>
      </c>
      <c r="K838" t="s">
        <v>69</v>
      </c>
      <c r="L838">
        <v>0</v>
      </c>
      <c r="M838" t="s">
        <v>242</v>
      </c>
      <c r="N838">
        <v>1377</v>
      </c>
    </row>
    <row r="839" spans="1:14">
      <c r="A839">
        <v>84</v>
      </c>
      <c r="B839">
        <v>46205</v>
      </c>
      <c r="C839" t="s">
        <v>24</v>
      </c>
      <c r="D839" t="s">
        <v>67</v>
      </c>
      <c r="E839">
        <v>3</v>
      </c>
      <c r="F839">
        <v>46189</v>
      </c>
      <c r="G839" t="s">
        <v>67</v>
      </c>
      <c r="H839" t="s">
        <v>68</v>
      </c>
      <c r="I839">
        <v>3</v>
      </c>
      <c r="J839">
        <v>1</v>
      </c>
      <c r="K839" t="s">
        <v>171</v>
      </c>
      <c r="L839">
        <v>1</v>
      </c>
      <c r="M839" t="s">
        <v>242</v>
      </c>
      <c r="N839">
        <v>1354</v>
      </c>
    </row>
    <row r="840" spans="1:14">
      <c r="A840">
        <v>84</v>
      </c>
      <c r="B840">
        <v>46205</v>
      </c>
      <c r="C840" t="s">
        <v>24</v>
      </c>
      <c r="D840" t="s">
        <v>67</v>
      </c>
      <c r="E840">
        <v>4</v>
      </c>
      <c r="F840">
        <v>46174</v>
      </c>
      <c r="G840" t="s">
        <v>67</v>
      </c>
      <c r="H840" t="s">
        <v>48</v>
      </c>
      <c r="I840">
        <v>1</v>
      </c>
      <c r="J840">
        <v>0</v>
      </c>
      <c r="K840" t="s">
        <v>171</v>
      </c>
      <c r="L840">
        <v>1</v>
      </c>
      <c r="M840" t="s">
        <v>172</v>
      </c>
      <c r="N840">
        <v>1207</v>
      </c>
    </row>
    <row r="841" spans="1:14">
      <c r="A841">
        <v>84</v>
      </c>
      <c r="B841">
        <v>46205</v>
      </c>
      <c r="C841" t="s">
        <v>24</v>
      </c>
      <c r="D841" t="s">
        <v>67</v>
      </c>
      <c r="E841">
        <v>5</v>
      </c>
      <c r="F841">
        <v>46112</v>
      </c>
      <c r="G841" t="s">
        <v>67</v>
      </c>
      <c r="H841" t="s">
        <v>177</v>
      </c>
      <c r="I841">
        <v>1</v>
      </c>
      <c r="J841">
        <v>0</v>
      </c>
      <c r="K841" t="s">
        <v>171</v>
      </c>
      <c r="L841">
        <v>1</v>
      </c>
      <c r="M841" t="s">
        <v>172</v>
      </c>
      <c r="N841">
        <v>1136</v>
      </c>
    </row>
    <row r="842" spans="1:14">
      <c r="A842">
        <v>85</v>
      </c>
      <c r="B842">
        <v>46205</v>
      </c>
      <c r="C842" t="s">
        <v>19</v>
      </c>
      <c r="D842" t="s">
        <v>38</v>
      </c>
      <c r="E842">
        <v>1</v>
      </c>
      <c r="F842">
        <v>46197</v>
      </c>
      <c r="G842" t="s">
        <v>38</v>
      </c>
      <c r="H842" t="s">
        <v>25</v>
      </c>
      <c r="I842">
        <v>2</v>
      </c>
      <c r="J842">
        <v>1</v>
      </c>
      <c r="K842" t="s">
        <v>171</v>
      </c>
      <c r="L842">
        <v>1</v>
      </c>
      <c r="M842" t="s">
        <v>242</v>
      </c>
      <c r="N842">
        <v>1385</v>
      </c>
    </row>
    <row r="843" spans="1:14">
      <c r="A843">
        <v>85</v>
      </c>
      <c r="B843">
        <v>46205</v>
      </c>
      <c r="C843" t="s">
        <v>19</v>
      </c>
      <c r="D843" t="s">
        <v>38</v>
      </c>
      <c r="E843">
        <v>2</v>
      </c>
      <c r="F843">
        <v>46191</v>
      </c>
      <c r="G843" t="s">
        <v>38</v>
      </c>
      <c r="H843" t="s">
        <v>26</v>
      </c>
      <c r="I843">
        <v>4</v>
      </c>
      <c r="J843">
        <v>1</v>
      </c>
      <c r="K843" t="s">
        <v>171</v>
      </c>
      <c r="L843">
        <v>1</v>
      </c>
      <c r="M843" t="s">
        <v>242</v>
      </c>
      <c r="N843">
        <v>1361</v>
      </c>
    </row>
    <row r="844" spans="1:14">
      <c r="A844">
        <v>85</v>
      </c>
      <c r="B844">
        <v>46205</v>
      </c>
      <c r="C844" t="s">
        <v>19</v>
      </c>
      <c r="D844" t="s">
        <v>38</v>
      </c>
      <c r="E844">
        <v>3</v>
      </c>
      <c r="F844">
        <v>46186</v>
      </c>
      <c r="G844" t="s">
        <v>38</v>
      </c>
      <c r="H844" t="s">
        <v>37</v>
      </c>
      <c r="I844">
        <v>1</v>
      </c>
      <c r="J844">
        <v>1</v>
      </c>
      <c r="K844" t="s">
        <v>27</v>
      </c>
      <c r="L844">
        <v>0</v>
      </c>
      <c r="M844" t="s">
        <v>242</v>
      </c>
      <c r="N844">
        <v>1339</v>
      </c>
    </row>
    <row r="845" spans="1:14">
      <c r="A845">
        <v>85</v>
      </c>
      <c r="B845">
        <v>46205</v>
      </c>
      <c r="C845" t="s">
        <v>19</v>
      </c>
      <c r="D845" t="s">
        <v>38</v>
      </c>
      <c r="E845">
        <v>4</v>
      </c>
      <c r="F845">
        <v>46179</v>
      </c>
      <c r="G845" t="s">
        <v>38</v>
      </c>
      <c r="H845" t="s">
        <v>33</v>
      </c>
      <c r="I845">
        <v>1</v>
      </c>
      <c r="J845">
        <v>1</v>
      </c>
      <c r="K845" t="s">
        <v>27</v>
      </c>
      <c r="L845">
        <v>0</v>
      </c>
      <c r="M845" t="s">
        <v>172</v>
      </c>
      <c r="N845">
        <v>1274</v>
      </c>
    </row>
    <row r="846" spans="1:14">
      <c r="A846">
        <v>85</v>
      </c>
      <c r="B846">
        <v>46205</v>
      </c>
      <c r="C846" t="s">
        <v>19</v>
      </c>
      <c r="D846" t="s">
        <v>38</v>
      </c>
      <c r="E846">
        <v>5</v>
      </c>
      <c r="F846">
        <v>46173</v>
      </c>
      <c r="G846" t="s">
        <v>38</v>
      </c>
      <c r="H846" t="s">
        <v>68</v>
      </c>
      <c r="I846">
        <v>4</v>
      </c>
      <c r="J846">
        <v>1</v>
      </c>
      <c r="K846" t="s">
        <v>171</v>
      </c>
      <c r="L846">
        <v>1</v>
      </c>
      <c r="M846" t="s">
        <v>172</v>
      </c>
      <c r="N846">
        <v>1204</v>
      </c>
    </row>
    <row r="847" spans="1:14">
      <c r="A847">
        <v>85</v>
      </c>
      <c r="B847">
        <v>46205</v>
      </c>
      <c r="C847" t="s">
        <v>24</v>
      </c>
      <c r="D847" t="s">
        <v>66</v>
      </c>
      <c r="E847">
        <v>1</v>
      </c>
      <c r="F847">
        <v>46200</v>
      </c>
      <c r="G847" t="s">
        <v>66</v>
      </c>
      <c r="H847" t="s">
        <v>67</v>
      </c>
      <c r="I847">
        <v>3</v>
      </c>
      <c r="J847">
        <v>3</v>
      </c>
      <c r="K847" t="s">
        <v>27</v>
      </c>
      <c r="L847">
        <v>0</v>
      </c>
      <c r="M847" t="s">
        <v>242</v>
      </c>
      <c r="N847">
        <v>1401</v>
      </c>
    </row>
    <row r="848" spans="1:14">
      <c r="A848">
        <v>85</v>
      </c>
      <c r="B848">
        <v>46205</v>
      </c>
      <c r="C848" t="s">
        <v>24</v>
      </c>
      <c r="D848" t="s">
        <v>66</v>
      </c>
      <c r="E848">
        <v>2</v>
      </c>
      <c r="F848">
        <v>46195</v>
      </c>
      <c r="G848" t="s">
        <v>66</v>
      </c>
      <c r="H848" t="s">
        <v>68</v>
      </c>
      <c r="I848">
        <v>2</v>
      </c>
      <c r="J848">
        <v>1</v>
      </c>
      <c r="K848" t="s">
        <v>171</v>
      </c>
      <c r="L848">
        <v>1</v>
      </c>
      <c r="M848" t="s">
        <v>242</v>
      </c>
      <c r="N848">
        <v>1378</v>
      </c>
    </row>
    <row r="849" spans="1:14">
      <c r="A849">
        <v>85</v>
      </c>
      <c r="B849">
        <v>46205</v>
      </c>
      <c r="C849" t="s">
        <v>24</v>
      </c>
      <c r="D849" t="s">
        <v>66</v>
      </c>
      <c r="E849">
        <v>3</v>
      </c>
      <c r="F849">
        <v>46189</v>
      </c>
      <c r="G849" t="s">
        <v>66</v>
      </c>
      <c r="H849" t="s">
        <v>65</v>
      </c>
      <c r="I849">
        <v>0</v>
      </c>
      <c r="J849">
        <v>3</v>
      </c>
      <c r="K849" t="s">
        <v>69</v>
      </c>
      <c r="L849">
        <v>0</v>
      </c>
      <c r="M849" t="s">
        <v>242</v>
      </c>
      <c r="N849">
        <v>1353</v>
      </c>
    </row>
    <row r="850" spans="1:14">
      <c r="A850">
        <v>85</v>
      </c>
      <c r="B850">
        <v>46205</v>
      </c>
      <c r="C850" t="s">
        <v>24</v>
      </c>
      <c r="D850" t="s">
        <v>66</v>
      </c>
      <c r="E850">
        <v>4</v>
      </c>
      <c r="F850">
        <v>46183</v>
      </c>
      <c r="G850" t="s">
        <v>66</v>
      </c>
      <c r="H850" t="s">
        <v>196</v>
      </c>
      <c r="I850">
        <v>4</v>
      </c>
      <c r="J850">
        <v>0</v>
      </c>
      <c r="K850" t="s">
        <v>171</v>
      </c>
      <c r="L850">
        <v>1</v>
      </c>
      <c r="M850" t="s">
        <v>172</v>
      </c>
      <c r="N850">
        <v>1331</v>
      </c>
    </row>
    <row r="851" spans="1:14">
      <c r="A851">
        <v>85</v>
      </c>
      <c r="B851">
        <v>46205</v>
      </c>
      <c r="C851" t="s">
        <v>24</v>
      </c>
      <c r="D851" t="s">
        <v>66</v>
      </c>
      <c r="E851">
        <v>5</v>
      </c>
      <c r="F851">
        <v>46176</v>
      </c>
      <c r="G851" t="s">
        <v>66</v>
      </c>
      <c r="H851" t="s">
        <v>45</v>
      </c>
      <c r="I851">
        <v>1</v>
      </c>
      <c r="J851">
        <v>0</v>
      </c>
      <c r="K851" t="s">
        <v>171</v>
      </c>
      <c r="L851">
        <v>1</v>
      </c>
      <c r="M851" t="s">
        <v>172</v>
      </c>
      <c r="N851">
        <v>1229</v>
      </c>
    </row>
    <row r="852" spans="1:14">
      <c r="A852">
        <v>86</v>
      </c>
      <c r="B852">
        <v>46206</v>
      </c>
      <c r="C852" t="s">
        <v>19</v>
      </c>
      <c r="D852" t="s">
        <v>65</v>
      </c>
      <c r="E852">
        <v>1</v>
      </c>
      <c r="F852">
        <v>46200</v>
      </c>
      <c r="G852" t="s">
        <v>65</v>
      </c>
      <c r="H852" t="s">
        <v>68</v>
      </c>
      <c r="I852">
        <v>3</v>
      </c>
      <c r="J852">
        <v>1</v>
      </c>
      <c r="K852" t="s">
        <v>171</v>
      </c>
      <c r="L852">
        <v>1</v>
      </c>
      <c r="M852" t="s">
        <v>242</v>
      </c>
      <c r="N852">
        <v>1402</v>
      </c>
    </row>
    <row r="853" spans="1:14">
      <c r="A853">
        <v>86</v>
      </c>
      <c r="B853">
        <v>46206</v>
      </c>
      <c r="C853" t="s">
        <v>19</v>
      </c>
      <c r="D853" t="s">
        <v>65</v>
      </c>
      <c r="E853">
        <v>2</v>
      </c>
      <c r="F853">
        <v>46195</v>
      </c>
      <c r="G853" t="s">
        <v>65</v>
      </c>
      <c r="H853" t="s">
        <v>67</v>
      </c>
      <c r="I853">
        <v>2</v>
      </c>
      <c r="J853">
        <v>0</v>
      </c>
      <c r="K853" t="s">
        <v>171</v>
      </c>
      <c r="L853">
        <v>1</v>
      </c>
      <c r="M853" t="s">
        <v>242</v>
      </c>
      <c r="N853">
        <v>1377</v>
      </c>
    </row>
    <row r="854" spans="1:14">
      <c r="A854">
        <v>86</v>
      </c>
      <c r="B854">
        <v>46206</v>
      </c>
      <c r="C854" t="s">
        <v>19</v>
      </c>
      <c r="D854" t="s">
        <v>65</v>
      </c>
      <c r="E854">
        <v>3</v>
      </c>
      <c r="F854">
        <v>46189</v>
      </c>
      <c r="G854" t="s">
        <v>65</v>
      </c>
      <c r="H854" t="s">
        <v>66</v>
      </c>
      <c r="I854">
        <v>3</v>
      </c>
      <c r="J854">
        <v>0</v>
      </c>
      <c r="K854" t="s">
        <v>171</v>
      </c>
      <c r="L854">
        <v>1</v>
      </c>
      <c r="M854" t="s">
        <v>242</v>
      </c>
      <c r="N854">
        <v>1353</v>
      </c>
    </row>
    <row r="855" spans="1:14">
      <c r="A855">
        <v>86</v>
      </c>
      <c r="B855">
        <v>46206</v>
      </c>
      <c r="C855" t="s">
        <v>19</v>
      </c>
      <c r="D855" t="s">
        <v>65</v>
      </c>
      <c r="E855">
        <v>4</v>
      </c>
      <c r="F855">
        <v>46182</v>
      </c>
      <c r="G855" t="s">
        <v>65</v>
      </c>
      <c r="H855" t="s">
        <v>188</v>
      </c>
      <c r="I855">
        <v>3</v>
      </c>
      <c r="J855">
        <v>0</v>
      </c>
      <c r="K855" t="s">
        <v>171</v>
      </c>
      <c r="L855">
        <v>1</v>
      </c>
      <c r="M855" t="s">
        <v>172</v>
      </c>
      <c r="N855">
        <v>1310</v>
      </c>
    </row>
    <row r="856" spans="1:14">
      <c r="A856">
        <v>86</v>
      </c>
      <c r="B856">
        <v>46206</v>
      </c>
      <c r="C856" t="s">
        <v>19</v>
      </c>
      <c r="D856" t="s">
        <v>65</v>
      </c>
      <c r="E856">
        <v>5</v>
      </c>
      <c r="F856">
        <v>46179</v>
      </c>
      <c r="G856" t="s">
        <v>65</v>
      </c>
      <c r="H856" t="s">
        <v>231</v>
      </c>
      <c r="I856">
        <v>2</v>
      </c>
      <c r="J856">
        <v>0</v>
      </c>
      <c r="K856" t="s">
        <v>171</v>
      </c>
      <c r="L856">
        <v>1</v>
      </c>
      <c r="M856" t="s">
        <v>172</v>
      </c>
      <c r="N856">
        <v>1272</v>
      </c>
    </row>
    <row r="857" spans="1:14">
      <c r="A857">
        <v>86</v>
      </c>
      <c r="B857">
        <v>46206</v>
      </c>
      <c r="C857" t="s">
        <v>24</v>
      </c>
      <c r="D857" t="s">
        <v>53</v>
      </c>
      <c r="E857">
        <v>1</v>
      </c>
      <c r="F857">
        <v>46199</v>
      </c>
      <c r="G857" t="s">
        <v>217</v>
      </c>
      <c r="H857" t="s">
        <v>50</v>
      </c>
      <c r="I857">
        <v>0</v>
      </c>
      <c r="J857">
        <v>0</v>
      </c>
      <c r="K857" t="s">
        <v>27</v>
      </c>
      <c r="L857">
        <v>0</v>
      </c>
      <c r="M857" t="s">
        <v>242</v>
      </c>
      <c r="N857">
        <v>1397</v>
      </c>
    </row>
    <row r="858" spans="1:14">
      <c r="A858">
        <v>86</v>
      </c>
      <c r="B858">
        <v>46206</v>
      </c>
      <c r="C858" t="s">
        <v>24</v>
      </c>
      <c r="D858" t="s">
        <v>53</v>
      </c>
      <c r="E858">
        <v>2</v>
      </c>
      <c r="F858">
        <v>46194</v>
      </c>
      <c r="G858" t="s">
        <v>217</v>
      </c>
      <c r="H858" t="s">
        <v>51</v>
      </c>
      <c r="I858">
        <v>2</v>
      </c>
      <c r="J858">
        <v>2</v>
      </c>
      <c r="K858" t="s">
        <v>27</v>
      </c>
      <c r="L858">
        <v>0</v>
      </c>
      <c r="M858" t="s">
        <v>242</v>
      </c>
      <c r="N858">
        <v>1374</v>
      </c>
    </row>
    <row r="859" spans="1:14">
      <c r="A859">
        <v>86</v>
      </c>
      <c r="B859">
        <v>46206</v>
      </c>
      <c r="C859" t="s">
        <v>24</v>
      </c>
      <c r="D859" t="s">
        <v>53</v>
      </c>
      <c r="E859">
        <v>3</v>
      </c>
      <c r="F859">
        <v>46188</v>
      </c>
      <c r="G859" t="s">
        <v>217</v>
      </c>
      <c r="H859" t="s">
        <v>52</v>
      </c>
      <c r="I859">
        <v>0</v>
      </c>
      <c r="J859">
        <v>0</v>
      </c>
      <c r="K859" t="s">
        <v>27</v>
      </c>
      <c r="L859">
        <v>0</v>
      </c>
      <c r="M859" t="s">
        <v>242</v>
      </c>
      <c r="N859">
        <v>1349</v>
      </c>
    </row>
    <row r="860" spans="1:14">
      <c r="A860">
        <v>86</v>
      </c>
      <c r="B860">
        <v>46206</v>
      </c>
      <c r="C860" t="s">
        <v>24</v>
      </c>
      <c r="D860" t="s">
        <v>53</v>
      </c>
      <c r="E860">
        <v>4</v>
      </c>
      <c r="F860">
        <v>46179</v>
      </c>
      <c r="G860" t="s">
        <v>217</v>
      </c>
      <c r="H860" t="s">
        <v>218</v>
      </c>
      <c r="I860">
        <v>0</v>
      </c>
      <c r="J860">
        <v>3</v>
      </c>
      <c r="K860" t="s">
        <v>69</v>
      </c>
      <c r="L860">
        <v>0</v>
      </c>
      <c r="M860" t="s">
        <v>172</v>
      </c>
      <c r="N860">
        <v>1276</v>
      </c>
    </row>
    <row r="861" spans="1:14">
      <c r="A861">
        <v>86</v>
      </c>
      <c r="B861">
        <v>46206</v>
      </c>
      <c r="C861" t="s">
        <v>24</v>
      </c>
      <c r="D861" t="s">
        <v>53</v>
      </c>
      <c r="E861">
        <v>5</v>
      </c>
      <c r="F861">
        <v>46173</v>
      </c>
      <c r="G861" t="s">
        <v>217</v>
      </c>
      <c r="H861" t="s">
        <v>170</v>
      </c>
      <c r="I861">
        <v>3</v>
      </c>
      <c r="J861">
        <v>0</v>
      </c>
      <c r="K861" t="s">
        <v>171</v>
      </c>
      <c r="L861">
        <v>1</v>
      </c>
      <c r="M861" t="s">
        <v>172</v>
      </c>
      <c r="N861">
        <v>1199</v>
      </c>
    </row>
    <row r="862" spans="1:14">
      <c r="A862">
        <v>87</v>
      </c>
      <c r="B862">
        <v>46206</v>
      </c>
      <c r="C862" t="s">
        <v>19</v>
      </c>
      <c r="D862" t="s">
        <v>78</v>
      </c>
      <c r="E862">
        <v>1</v>
      </c>
      <c r="F862">
        <v>46200</v>
      </c>
      <c r="G862" t="s">
        <v>78</v>
      </c>
      <c r="H862" t="s">
        <v>75</v>
      </c>
      <c r="I862">
        <v>0</v>
      </c>
      <c r="J862">
        <v>0</v>
      </c>
      <c r="K862" t="s">
        <v>27</v>
      </c>
      <c r="L862">
        <v>0</v>
      </c>
      <c r="M862" t="s">
        <v>242</v>
      </c>
      <c r="N862">
        <v>1403</v>
      </c>
    </row>
    <row r="863" spans="1:14">
      <c r="A863">
        <v>87</v>
      </c>
      <c r="B863">
        <v>46206</v>
      </c>
      <c r="C863" t="s">
        <v>19</v>
      </c>
      <c r="D863" t="s">
        <v>78</v>
      </c>
      <c r="E863">
        <v>2</v>
      </c>
      <c r="F863">
        <v>46196</v>
      </c>
      <c r="G863" t="s">
        <v>78</v>
      </c>
      <c r="H863" t="s">
        <v>240</v>
      </c>
      <c r="I863">
        <v>1</v>
      </c>
      <c r="J863">
        <v>0</v>
      </c>
      <c r="K863" t="s">
        <v>171</v>
      </c>
      <c r="L863">
        <v>1</v>
      </c>
      <c r="M863" t="s">
        <v>242</v>
      </c>
      <c r="N863">
        <v>1380</v>
      </c>
    </row>
    <row r="864" spans="1:14">
      <c r="A864">
        <v>87</v>
      </c>
      <c r="B864">
        <v>46206</v>
      </c>
      <c r="C864" t="s">
        <v>19</v>
      </c>
      <c r="D864" t="s">
        <v>78</v>
      </c>
      <c r="E864">
        <v>3</v>
      </c>
      <c r="F864">
        <v>46190</v>
      </c>
      <c r="G864" t="s">
        <v>78</v>
      </c>
      <c r="H864" t="s">
        <v>77</v>
      </c>
      <c r="I864">
        <v>3</v>
      </c>
      <c r="J864">
        <v>1</v>
      </c>
      <c r="K864" t="s">
        <v>171</v>
      </c>
      <c r="L864">
        <v>1</v>
      </c>
      <c r="M864" t="s">
        <v>242</v>
      </c>
      <c r="N864">
        <v>1356</v>
      </c>
    </row>
    <row r="865" spans="1:14">
      <c r="A865">
        <v>87</v>
      </c>
      <c r="B865">
        <v>46206</v>
      </c>
      <c r="C865" t="s">
        <v>19</v>
      </c>
      <c r="D865" t="s">
        <v>78</v>
      </c>
      <c r="E865">
        <v>4</v>
      </c>
      <c r="F865">
        <v>46180</v>
      </c>
      <c r="G865" t="s">
        <v>78</v>
      </c>
      <c r="H865" t="s">
        <v>68</v>
      </c>
      <c r="I865">
        <v>2</v>
      </c>
      <c r="J865">
        <v>0</v>
      </c>
      <c r="K865" t="s">
        <v>171</v>
      </c>
      <c r="L865">
        <v>1</v>
      </c>
      <c r="M865" t="s">
        <v>172</v>
      </c>
      <c r="N865">
        <v>1300</v>
      </c>
    </row>
    <row r="866" spans="1:14">
      <c r="A866">
        <v>87</v>
      </c>
      <c r="B866">
        <v>46206</v>
      </c>
      <c r="C866" t="s">
        <v>19</v>
      </c>
      <c r="D866" t="s">
        <v>78</v>
      </c>
      <c r="E866">
        <v>5</v>
      </c>
      <c r="F866">
        <v>46174</v>
      </c>
      <c r="G866" t="s">
        <v>78</v>
      </c>
      <c r="H866" t="s">
        <v>223</v>
      </c>
      <c r="I866">
        <v>3</v>
      </c>
      <c r="J866">
        <v>1</v>
      </c>
      <c r="K866" t="s">
        <v>171</v>
      </c>
      <c r="L866">
        <v>1</v>
      </c>
      <c r="M866" t="s">
        <v>172</v>
      </c>
      <c r="N866">
        <v>1210</v>
      </c>
    </row>
    <row r="867" spans="1:14">
      <c r="A867">
        <v>87</v>
      </c>
      <c r="B867">
        <v>46206</v>
      </c>
      <c r="C867" t="s">
        <v>24</v>
      </c>
      <c r="D867" t="s">
        <v>70</v>
      </c>
      <c r="E867">
        <v>1</v>
      </c>
      <c r="F867">
        <v>46200</v>
      </c>
      <c r="G867" t="s">
        <v>70</v>
      </c>
      <c r="H867" t="s">
        <v>73</v>
      </c>
      <c r="I867">
        <v>1</v>
      </c>
      <c r="J867">
        <v>2</v>
      </c>
      <c r="K867" t="s">
        <v>69</v>
      </c>
      <c r="L867">
        <v>0</v>
      </c>
      <c r="M867" t="s">
        <v>242</v>
      </c>
      <c r="N867">
        <v>1406</v>
      </c>
    </row>
    <row r="868" spans="1:14">
      <c r="A868">
        <v>87</v>
      </c>
      <c r="B868">
        <v>46206</v>
      </c>
      <c r="C868" t="s">
        <v>24</v>
      </c>
      <c r="D868" t="s">
        <v>70</v>
      </c>
      <c r="E868">
        <v>2</v>
      </c>
      <c r="F868">
        <v>46196</v>
      </c>
      <c r="G868" t="s">
        <v>70</v>
      </c>
      <c r="H868" t="s">
        <v>72</v>
      </c>
      <c r="I868">
        <v>0</v>
      </c>
      <c r="J868">
        <v>0</v>
      </c>
      <c r="K868" t="s">
        <v>27</v>
      </c>
      <c r="L868">
        <v>0</v>
      </c>
      <c r="M868" t="s">
        <v>242</v>
      </c>
      <c r="N868">
        <v>1381</v>
      </c>
    </row>
    <row r="869" spans="1:14">
      <c r="A869">
        <v>87</v>
      </c>
      <c r="B869">
        <v>46206</v>
      </c>
      <c r="C869" t="s">
        <v>24</v>
      </c>
      <c r="D869" t="s">
        <v>70</v>
      </c>
      <c r="E869">
        <v>3</v>
      </c>
      <c r="F869">
        <v>46190</v>
      </c>
      <c r="G869" t="s">
        <v>70</v>
      </c>
      <c r="H869" t="s">
        <v>71</v>
      </c>
      <c r="I869">
        <v>1</v>
      </c>
      <c r="J869">
        <v>0</v>
      </c>
      <c r="K869" t="s">
        <v>171</v>
      </c>
      <c r="L869">
        <v>1</v>
      </c>
      <c r="M869" t="s">
        <v>242</v>
      </c>
      <c r="N869">
        <v>1358</v>
      </c>
    </row>
    <row r="870" spans="1:14">
      <c r="A870">
        <v>87</v>
      </c>
      <c r="B870">
        <v>46206</v>
      </c>
      <c r="C870" t="s">
        <v>24</v>
      </c>
      <c r="D870" t="s">
        <v>70</v>
      </c>
      <c r="E870">
        <v>4</v>
      </c>
      <c r="F870">
        <v>46175</v>
      </c>
      <c r="G870" t="s">
        <v>70</v>
      </c>
      <c r="H870" t="s">
        <v>192</v>
      </c>
      <c r="I870">
        <v>1</v>
      </c>
      <c r="J870">
        <v>1</v>
      </c>
      <c r="K870" t="s">
        <v>27</v>
      </c>
      <c r="L870">
        <v>0</v>
      </c>
      <c r="M870" t="s">
        <v>172</v>
      </c>
      <c r="N870">
        <v>1219</v>
      </c>
    </row>
    <row r="871" spans="1:14">
      <c r="A871">
        <v>87</v>
      </c>
      <c r="B871">
        <v>46206</v>
      </c>
      <c r="C871" t="s">
        <v>24</v>
      </c>
      <c r="D871" t="s">
        <v>70</v>
      </c>
      <c r="E871">
        <v>5</v>
      </c>
      <c r="F871">
        <v>46164</v>
      </c>
      <c r="G871" t="s">
        <v>70</v>
      </c>
      <c r="H871" t="s">
        <v>20</v>
      </c>
      <c r="I871">
        <v>0</v>
      </c>
      <c r="J871">
        <v>2</v>
      </c>
      <c r="K871" t="s">
        <v>69</v>
      </c>
      <c r="L871">
        <v>0</v>
      </c>
      <c r="M871" t="s">
        <v>172</v>
      </c>
      <c r="N871">
        <v>1182</v>
      </c>
    </row>
    <row r="872" spans="1:14">
      <c r="A872">
        <v>88</v>
      </c>
      <c r="B872">
        <v>46206</v>
      </c>
      <c r="C872" t="s">
        <v>19</v>
      </c>
      <c r="D872" t="s">
        <v>33</v>
      </c>
      <c r="E872">
        <v>1</v>
      </c>
      <c r="F872">
        <v>46198</v>
      </c>
      <c r="G872" t="s">
        <v>33</v>
      </c>
      <c r="H872" t="s">
        <v>29</v>
      </c>
      <c r="I872">
        <v>0</v>
      </c>
      <c r="J872">
        <v>0</v>
      </c>
      <c r="K872" t="s">
        <v>27</v>
      </c>
      <c r="L872">
        <v>0</v>
      </c>
      <c r="M872" t="s">
        <v>242</v>
      </c>
      <c r="N872">
        <v>1390</v>
      </c>
    </row>
    <row r="873" spans="1:14">
      <c r="A873">
        <v>88</v>
      </c>
      <c r="B873">
        <v>46206</v>
      </c>
      <c r="C873" t="s">
        <v>19</v>
      </c>
      <c r="D873" t="s">
        <v>33</v>
      </c>
      <c r="E873">
        <v>2</v>
      </c>
      <c r="F873">
        <v>46192</v>
      </c>
      <c r="G873" t="s">
        <v>33</v>
      </c>
      <c r="H873" t="s">
        <v>193</v>
      </c>
      <c r="I873">
        <v>0</v>
      </c>
      <c r="J873">
        <v>2</v>
      </c>
      <c r="K873" t="s">
        <v>69</v>
      </c>
      <c r="L873">
        <v>0</v>
      </c>
      <c r="M873" t="s">
        <v>242</v>
      </c>
      <c r="N873">
        <v>1365</v>
      </c>
    </row>
    <row r="874" spans="1:14">
      <c r="A874">
        <v>88</v>
      </c>
      <c r="B874">
        <v>46206</v>
      </c>
      <c r="C874" t="s">
        <v>19</v>
      </c>
      <c r="D874" t="s">
        <v>33</v>
      </c>
      <c r="E874">
        <v>3</v>
      </c>
      <c r="F874">
        <v>46186</v>
      </c>
      <c r="G874" t="s">
        <v>33</v>
      </c>
      <c r="H874" t="s">
        <v>198</v>
      </c>
      <c r="I874">
        <v>2</v>
      </c>
      <c r="J874">
        <v>0</v>
      </c>
      <c r="K874" t="s">
        <v>171</v>
      </c>
      <c r="L874">
        <v>1</v>
      </c>
      <c r="M874" t="s">
        <v>242</v>
      </c>
      <c r="N874">
        <v>1342</v>
      </c>
    </row>
    <row r="875" spans="1:14">
      <c r="A875">
        <v>88</v>
      </c>
      <c r="B875">
        <v>46206</v>
      </c>
      <c r="C875" t="s">
        <v>19</v>
      </c>
      <c r="D875" t="s">
        <v>33</v>
      </c>
      <c r="E875">
        <v>4</v>
      </c>
      <c r="F875">
        <v>46179</v>
      </c>
      <c r="G875" t="s">
        <v>33</v>
      </c>
      <c r="H875" t="s">
        <v>38</v>
      </c>
      <c r="I875">
        <v>1</v>
      </c>
      <c r="J875">
        <v>1</v>
      </c>
      <c r="K875" t="s">
        <v>27</v>
      </c>
      <c r="L875">
        <v>0</v>
      </c>
      <c r="M875" t="s">
        <v>172</v>
      </c>
      <c r="N875">
        <v>1274</v>
      </c>
    </row>
    <row r="876" spans="1:14">
      <c r="A876">
        <v>88</v>
      </c>
      <c r="B876">
        <v>46206</v>
      </c>
      <c r="C876" t="s">
        <v>19</v>
      </c>
      <c r="D876" t="s">
        <v>33</v>
      </c>
      <c r="E876">
        <v>5</v>
      </c>
      <c r="F876">
        <v>46172</v>
      </c>
      <c r="G876" t="s">
        <v>33</v>
      </c>
      <c r="H876" t="s">
        <v>20</v>
      </c>
      <c r="I876">
        <v>0</v>
      </c>
      <c r="J876">
        <v>1</v>
      </c>
      <c r="K876" t="s">
        <v>69</v>
      </c>
      <c r="L876">
        <v>0</v>
      </c>
      <c r="M876" t="s">
        <v>172</v>
      </c>
      <c r="N876">
        <v>1194</v>
      </c>
    </row>
    <row r="877" spans="1:14">
      <c r="A877">
        <v>88</v>
      </c>
      <c r="B877">
        <v>46206</v>
      </c>
      <c r="C877" t="s">
        <v>24</v>
      </c>
      <c r="D877" t="s">
        <v>58</v>
      </c>
      <c r="E877">
        <v>1</v>
      </c>
      <c r="F877">
        <v>46199</v>
      </c>
      <c r="G877" t="s">
        <v>58</v>
      </c>
      <c r="H877" t="s">
        <v>221</v>
      </c>
      <c r="I877">
        <v>1</v>
      </c>
      <c r="J877">
        <v>1</v>
      </c>
      <c r="K877" t="s">
        <v>27</v>
      </c>
      <c r="L877">
        <v>0</v>
      </c>
      <c r="M877" t="s">
        <v>242</v>
      </c>
      <c r="N877">
        <v>1395</v>
      </c>
    </row>
    <row r="878" spans="1:14">
      <c r="A878">
        <v>88</v>
      </c>
      <c r="B878">
        <v>46206</v>
      </c>
      <c r="C878" t="s">
        <v>24</v>
      </c>
      <c r="D878" t="s">
        <v>58</v>
      </c>
      <c r="E878">
        <v>2</v>
      </c>
      <c r="F878">
        <v>46194</v>
      </c>
      <c r="G878" t="s">
        <v>58</v>
      </c>
      <c r="H878" t="s">
        <v>56</v>
      </c>
      <c r="I878">
        <v>3</v>
      </c>
      <c r="J878">
        <v>1</v>
      </c>
      <c r="K878" t="s">
        <v>171</v>
      </c>
      <c r="L878">
        <v>1</v>
      </c>
      <c r="M878" t="s">
        <v>242</v>
      </c>
      <c r="N878">
        <v>1372</v>
      </c>
    </row>
    <row r="879" spans="1:14">
      <c r="A879">
        <v>88</v>
      </c>
      <c r="B879">
        <v>46206</v>
      </c>
      <c r="C879" t="s">
        <v>24</v>
      </c>
      <c r="D879" t="s">
        <v>58</v>
      </c>
      <c r="E879">
        <v>3</v>
      </c>
      <c r="F879">
        <v>46188</v>
      </c>
      <c r="G879" t="s">
        <v>58</v>
      </c>
      <c r="H879" t="s">
        <v>57</v>
      </c>
      <c r="I879">
        <v>1</v>
      </c>
      <c r="J879">
        <v>1</v>
      </c>
      <c r="K879" t="s">
        <v>27</v>
      </c>
      <c r="L879">
        <v>0</v>
      </c>
      <c r="M879" t="s">
        <v>242</v>
      </c>
      <c r="N879">
        <v>1347</v>
      </c>
    </row>
    <row r="880" spans="1:14">
      <c r="A880">
        <v>88</v>
      </c>
      <c r="B880">
        <v>46206</v>
      </c>
      <c r="C880" t="s">
        <v>24</v>
      </c>
      <c r="D880" t="s">
        <v>58</v>
      </c>
      <c r="E880">
        <v>4</v>
      </c>
      <c r="F880">
        <v>46179</v>
      </c>
      <c r="G880" t="s">
        <v>58</v>
      </c>
      <c r="H880" t="s">
        <v>35</v>
      </c>
      <c r="I880">
        <v>1</v>
      </c>
      <c r="J880">
        <v>2</v>
      </c>
      <c r="K880" t="s">
        <v>69</v>
      </c>
      <c r="L880">
        <v>0</v>
      </c>
      <c r="M880" t="s">
        <v>172</v>
      </c>
      <c r="N880">
        <v>1278</v>
      </c>
    </row>
    <row r="881" spans="1:14">
      <c r="A881">
        <v>88</v>
      </c>
      <c r="B881">
        <v>46206</v>
      </c>
      <c r="C881" t="s">
        <v>24</v>
      </c>
      <c r="D881" t="s">
        <v>58</v>
      </c>
      <c r="E881">
        <v>5</v>
      </c>
      <c r="F881">
        <v>46170</v>
      </c>
      <c r="G881" t="s">
        <v>58</v>
      </c>
      <c r="H881" t="s">
        <v>227</v>
      </c>
      <c r="I881">
        <v>1</v>
      </c>
      <c r="J881">
        <v>0</v>
      </c>
      <c r="K881" t="s">
        <v>171</v>
      </c>
      <c r="L881">
        <v>1</v>
      </c>
      <c r="M881" t="s">
        <v>172</v>
      </c>
      <c r="N881">
        <v>1187</v>
      </c>
    </row>
    <row r="882" spans="1:14">
      <c r="A882">
        <v>89</v>
      </c>
      <c r="B882">
        <v>46207</v>
      </c>
      <c r="C882" t="s">
        <v>19</v>
      </c>
      <c r="D882" t="s">
        <v>29</v>
      </c>
      <c r="E882">
        <v>1</v>
      </c>
      <c r="F882">
        <v>46202</v>
      </c>
      <c r="G882" t="s">
        <v>29</v>
      </c>
      <c r="H882" t="s">
        <v>42</v>
      </c>
      <c r="I882">
        <v>1</v>
      </c>
      <c r="J882">
        <v>1</v>
      </c>
      <c r="K882" t="s">
        <v>27</v>
      </c>
      <c r="L882">
        <v>0</v>
      </c>
      <c r="M882" t="s">
        <v>242</v>
      </c>
      <c r="N882">
        <v>1409</v>
      </c>
    </row>
    <row r="883" spans="1:14">
      <c r="A883">
        <v>89</v>
      </c>
      <c r="B883">
        <v>46207</v>
      </c>
      <c r="C883" t="s">
        <v>19</v>
      </c>
      <c r="D883" t="s">
        <v>29</v>
      </c>
      <c r="E883">
        <v>2</v>
      </c>
      <c r="F883">
        <v>46198</v>
      </c>
      <c r="G883" t="s">
        <v>29</v>
      </c>
      <c r="H883" t="s">
        <v>33</v>
      </c>
      <c r="I883">
        <v>0</v>
      </c>
      <c r="J883">
        <v>0</v>
      </c>
      <c r="K883" t="s">
        <v>27</v>
      </c>
      <c r="L883">
        <v>0</v>
      </c>
      <c r="M883" t="s">
        <v>242</v>
      </c>
      <c r="N883">
        <v>1390</v>
      </c>
    </row>
    <row r="884" spans="1:14">
      <c r="A884">
        <v>89</v>
      </c>
      <c r="B884">
        <v>46207</v>
      </c>
      <c r="C884" t="s">
        <v>19</v>
      </c>
      <c r="D884" t="s">
        <v>29</v>
      </c>
      <c r="E884">
        <v>3</v>
      </c>
      <c r="F884">
        <v>46192</v>
      </c>
      <c r="G884" t="s">
        <v>29</v>
      </c>
      <c r="H884" t="s">
        <v>198</v>
      </c>
      <c r="I884">
        <v>1</v>
      </c>
      <c r="J884">
        <v>0</v>
      </c>
      <c r="K884" t="s">
        <v>171</v>
      </c>
      <c r="L884">
        <v>1</v>
      </c>
      <c r="M884" t="s">
        <v>242</v>
      </c>
      <c r="N884">
        <v>1366</v>
      </c>
    </row>
    <row r="885" spans="1:14">
      <c r="A885">
        <v>89</v>
      </c>
      <c r="B885">
        <v>46207</v>
      </c>
      <c r="C885" t="s">
        <v>19</v>
      </c>
      <c r="D885" t="s">
        <v>29</v>
      </c>
      <c r="E885">
        <v>4</v>
      </c>
      <c r="F885">
        <v>46185</v>
      </c>
      <c r="G885" t="s">
        <v>29</v>
      </c>
      <c r="H885" t="s">
        <v>193</v>
      </c>
      <c r="I885">
        <v>1</v>
      </c>
      <c r="J885">
        <v>4</v>
      </c>
      <c r="K885" t="s">
        <v>69</v>
      </c>
      <c r="L885">
        <v>0</v>
      </c>
      <c r="M885" t="s">
        <v>242</v>
      </c>
      <c r="N885">
        <v>1338</v>
      </c>
    </row>
    <row r="886" spans="1:14">
      <c r="A886">
        <v>89</v>
      </c>
      <c r="B886">
        <v>46207</v>
      </c>
      <c r="C886" t="s">
        <v>19</v>
      </c>
      <c r="D886" t="s">
        <v>29</v>
      </c>
      <c r="E886">
        <v>5</v>
      </c>
      <c r="F886">
        <v>46178</v>
      </c>
      <c r="G886" t="s">
        <v>29</v>
      </c>
      <c r="H886" t="s">
        <v>174</v>
      </c>
      <c r="I886">
        <v>4</v>
      </c>
      <c r="J886">
        <v>0</v>
      </c>
      <c r="K886" t="s">
        <v>171</v>
      </c>
      <c r="L886">
        <v>1</v>
      </c>
      <c r="M886" t="s">
        <v>172</v>
      </c>
      <c r="N886">
        <v>1257</v>
      </c>
    </row>
    <row r="887" spans="1:14">
      <c r="A887">
        <v>89</v>
      </c>
      <c r="B887">
        <v>46207</v>
      </c>
      <c r="C887" t="s">
        <v>24</v>
      </c>
      <c r="D887" t="s">
        <v>60</v>
      </c>
      <c r="E887">
        <v>1</v>
      </c>
      <c r="F887">
        <v>46203</v>
      </c>
      <c r="G887" t="s">
        <v>60</v>
      </c>
      <c r="H887" t="s">
        <v>47</v>
      </c>
      <c r="I887">
        <v>3</v>
      </c>
      <c r="J887">
        <v>0</v>
      </c>
      <c r="K887" t="s">
        <v>171</v>
      </c>
      <c r="L887">
        <v>1</v>
      </c>
      <c r="M887" t="s">
        <v>242</v>
      </c>
      <c r="N887">
        <v>1412</v>
      </c>
    </row>
    <row r="888" spans="1:14">
      <c r="A888">
        <v>89</v>
      </c>
      <c r="B888">
        <v>46207</v>
      </c>
      <c r="C888" t="s">
        <v>24</v>
      </c>
      <c r="D888" t="s">
        <v>60</v>
      </c>
      <c r="E888">
        <v>2</v>
      </c>
      <c r="F888">
        <v>46199</v>
      </c>
      <c r="G888" t="s">
        <v>60</v>
      </c>
      <c r="H888" t="s">
        <v>63</v>
      </c>
      <c r="I888">
        <v>4</v>
      </c>
      <c r="J888">
        <v>1</v>
      </c>
      <c r="K888" t="s">
        <v>171</v>
      </c>
      <c r="L888">
        <v>1</v>
      </c>
      <c r="M888" t="s">
        <v>242</v>
      </c>
      <c r="N888">
        <v>1399</v>
      </c>
    </row>
    <row r="889" spans="1:14">
      <c r="A889">
        <v>89</v>
      </c>
      <c r="B889">
        <v>46207</v>
      </c>
      <c r="C889" t="s">
        <v>24</v>
      </c>
      <c r="D889" t="s">
        <v>60</v>
      </c>
      <c r="E889">
        <v>3</v>
      </c>
      <c r="F889">
        <v>46195</v>
      </c>
      <c r="G889" t="s">
        <v>60</v>
      </c>
      <c r="H889" t="s">
        <v>62</v>
      </c>
      <c r="I889">
        <v>3</v>
      </c>
      <c r="J889">
        <v>0</v>
      </c>
      <c r="K889" t="s">
        <v>171</v>
      </c>
      <c r="L889">
        <v>1</v>
      </c>
      <c r="M889" t="s">
        <v>242</v>
      </c>
      <c r="N889">
        <v>1375</v>
      </c>
    </row>
    <row r="890" spans="1:14">
      <c r="A890">
        <v>89</v>
      </c>
      <c r="B890">
        <v>46207</v>
      </c>
      <c r="C890" t="s">
        <v>24</v>
      </c>
      <c r="D890" t="s">
        <v>60</v>
      </c>
      <c r="E890">
        <v>4</v>
      </c>
      <c r="F890">
        <v>46189</v>
      </c>
      <c r="G890" t="s">
        <v>60</v>
      </c>
      <c r="H890" t="s">
        <v>61</v>
      </c>
      <c r="I890">
        <v>3</v>
      </c>
      <c r="J890">
        <v>1</v>
      </c>
      <c r="K890" t="s">
        <v>171</v>
      </c>
      <c r="L890">
        <v>1</v>
      </c>
      <c r="M890" t="s">
        <v>242</v>
      </c>
      <c r="N890">
        <v>1351</v>
      </c>
    </row>
    <row r="891" spans="1:14">
      <c r="A891">
        <v>89</v>
      </c>
      <c r="B891">
        <v>46207</v>
      </c>
      <c r="C891" t="s">
        <v>24</v>
      </c>
      <c r="D891" t="s">
        <v>60</v>
      </c>
      <c r="E891">
        <v>5</v>
      </c>
      <c r="F891">
        <v>46181</v>
      </c>
      <c r="G891" t="s">
        <v>60</v>
      </c>
      <c r="H891" t="s">
        <v>228</v>
      </c>
      <c r="I891">
        <v>3</v>
      </c>
      <c r="J891">
        <v>1</v>
      </c>
      <c r="K891" t="s">
        <v>171</v>
      </c>
      <c r="L891">
        <v>1</v>
      </c>
      <c r="M891" t="s">
        <v>172</v>
      </c>
      <c r="N891">
        <v>1305</v>
      </c>
    </row>
    <row r="892" spans="1:14">
      <c r="A892">
        <v>90</v>
      </c>
      <c r="B892">
        <v>46207</v>
      </c>
      <c r="C892" t="s">
        <v>19</v>
      </c>
      <c r="D892" t="s">
        <v>25</v>
      </c>
      <c r="E892">
        <v>1</v>
      </c>
      <c r="F892">
        <v>46201</v>
      </c>
      <c r="G892" t="s">
        <v>25</v>
      </c>
      <c r="H892" t="s">
        <v>21</v>
      </c>
      <c r="I892">
        <v>1</v>
      </c>
      <c r="J892">
        <v>0</v>
      </c>
      <c r="K892" t="s">
        <v>171</v>
      </c>
      <c r="L892">
        <v>1</v>
      </c>
      <c r="M892" t="s">
        <v>242</v>
      </c>
      <c r="N892">
        <v>1407</v>
      </c>
    </row>
    <row r="893" spans="1:14">
      <c r="A893">
        <v>90</v>
      </c>
      <c r="B893">
        <v>46207</v>
      </c>
      <c r="C893" t="s">
        <v>19</v>
      </c>
      <c r="D893" t="s">
        <v>25</v>
      </c>
      <c r="E893">
        <v>2</v>
      </c>
      <c r="F893">
        <v>46197</v>
      </c>
      <c r="G893" t="s">
        <v>25</v>
      </c>
      <c r="H893" t="s">
        <v>38</v>
      </c>
      <c r="I893">
        <v>1</v>
      </c>
      <c r="J893">
        <v>2</v>
      </c>
      <c r="K893" t="s">
        <v>69</v>
      </c>
      <c r="L893">
        <v>0</v>
      </c>
      <c r="M893" t="s">
        <v>242</v>
      </c>
      <c r="N893">
        <v>1385</v>
      </c>
    </row>
    <row r="894" spans="1:14">
      <c r="A894">
        <v>90</v>
      </c>
      <c r="B894">
        <v>46207</v>
      </c>
      <c r="C894" t="s">
        <v>19</v>
      </c>
      <c r="D894" t="s">
        <v>25</v>
      </c>
      <c r="E894">
        <v>3</v>
      </c>
      <c r="F894">
        <v>46191</v>
      </c>
      <c r="G894" t="s">
        <v>25</v>
      </c>
      <c r="H894" t="s">
        <v>37</v>
      </c>
      <c r="I894">
        <v>6</v>
      </c>
      <c r="J894">
        <v>0</v>
      </c>
      <c r="K894" t="s">
        <v>171</v>
      </c>
      <c r="L894">
        <v>1</v>
      </c>
      <c r="M894" t="s">
        <v>242</v>
      </c>
      <c r="N894">
        <v>1362</v>
      </c>
    </row>
    <row r="895" spans="1:14">
      <c r="A895">
        <v>90</v>
      </c>
      <c r="B895">
        <v>46207</v>
      </c>
      <c r="C895" t="s">
        <v>19</v>
      </c>
      <c r="D895" t="s">
        <v>25</v>
      </c>
      <c r="E895">
        <v>4</v>
      </c>
      <c r="F895">
        <v>46185</v>
      </c>
      <c r="G895" t="s">
        <v>25</v>
      </c>
      <c r="H895" t="s">
        <v>26</v>
      </c>
      <c r="I895">
        <v>1</v>
      </c>
      <c r="J895">
        <v>1</v>
      </c>
      <c r="K895" t="s">
        <v>27</v>
      </c>
      <c r="L895">
        <v>0</v>
      </c>
      <c r="M895" t="s">
        <v>242</v>
      </c>
      <c r="N895">
        <v>1337</v>
      </c>
    </row>
    <row r="896" spans="1:14">
      <c r="A896">
        <v>90</v>
      </c>
      <c r="B896">
        <v>46207</v>
      </c>
      <c r="C896" t="s">
        <v>19</v>
      </c>
      <c r="D896" t="s">
        <v>25</v>
      </c>
      <c r="E896">
        <v>5</v>
      </c>
      <c r="F896">
        <v>46178</v>
      </c>
      <c r="G896" t="s">
        <v>25</v>
      </c>
      <c r="H896" t="s">
        <v>186</v>
      </c>
      <c r="I896">
        <v>1</v>
      </c>
      <c r="J896">
        <v>1</v>
      </c>
      <c r="K896" t="s">
        <v>27</v>
      </c>
      <c r="L896">
        <v>0</v>
      </c>
      <c r="M896" t="s">
        <v>172</v>
      </c>
      <c r="N896">
        <v>1250</v>
      </c>
    </row>
    <row r="897" spans="1:14">
      <c r="A897">
        <v>90</v>
      </c>
      <c r="B897">
        <v>46207</v>
      </c>
      <c r="C897" t="s">
        <v>24</v>
      </c>
      <c r="D897" t="s">
        <v>36</v>
      </c>
      <c r="E897">
        <v>1</v>
      </c>
      <c r="F897">
        <v>46202</v>
      </c>
      <c r="G897" t="s">
        <v>36</v>
      </c>
      <c r="H897" t="s">
        <v>45</v>
      </c>
      <c r="I897">
        <v>1</v>
      </c>
      <c r="J897">
        <v>1</v>
      </c>
      <c r="K897" t="s">
        <v>27</v>
      </c>
      <c r="L897">
        <v>0</v>
      </c>
      <c r="M897" t="s">
        <v>242</v>
      </c>
      <c r="N897">
        <v>1410</v>
      </c>
    </row>
    <row r="898" spans="1:14">
      <c r="A898">
        <v>90</v>
      </c>
      <c r="B898">
        <v>46207</v>
      </c>
      <c r="C898" t="s">
        <v>24</v>
      </c>
      <c r="D898" t="s">
        <v>36</v>
      </c>
      <c r="E898">
        <v>2</v>
      </c>
      <c r="F898">
        <v>46197</v>
      </c>
      <c r="G898" t="s">
        <v>36</v>
      </c>
      <c r="H898" t="s">
        <v>31</v>
      </c>
      <c r="I898">
        <v>4</v>
      </c>
      <c r="J898">
        <v>2</v>
      </c>
      <c r="K898" t="s">
        <v>171</v>
      </c>
      <c r="L898">
        <v>1</v>
      </c>
      <c r="M898" t="s">
        <v>242</v>
      </c>
      <c r="N898">
        <v>1388</v>
      </c>
    </row>
    <row r="899" spans="1:14">
      <c r="A899">
        <v>90</v>
      </c>
      <c r="B899">
        <v>46207</v>
      </c>
      <c r="C899" t="s">
        <v>24</v>
      </c>
      <c r="D899" t="s">
        <v>36</v>
      </c>
      <c r="E899">
        <v>3</v>
      </c>
      <c r="F899">
        <v>46192</v>
      </c>
      <c r="G899" t="s">
        <v>36</v>
      </c>
      <c r="H899" t="s">
        <v>32</v>
      </c>
      <c r="I899">
        <v>1</v>
      </c>
      <c r="J899">
        <v>0</v>
      </c>
      <c r="K899" t="s">
        <v>171</v>
      </c>
      <c r="L899">
        <v>1</v>
      </c>
      <c r="M899" t="s">
        <v>242</v>
      </c>
      <c r="N899">
        <v>1363</v>
      </c>
    </row>
    <row r="900" spans="1:14">
      <c r="A900">
        <v>90</v>
      </c>
      <c r="B900">
        <v>46207</v>
      </c>
      <c r="C900" t="s">
        <v>24</v>
      </c>
      <c r="D900" t="s">
        <v>36</v>
      </c>
      <c r="E900">
        <v>4</v>
      </c>
      <c r="F900">
        <v>46186</v>
      </c>
      <c r="G900" t="s">
        <v>36</v>
      </c>
      <c r="H900" t="s">
        <v>35</v>
      </c>
      <c r="I900">
        <v>1</v>
      </c>
      <c r="J900">
        <v>1</v>
      </c>
      <c r="K900" t="s">
        <v>27</v>
      </c>
      <c r="L900">
        <v>0</v>
      </c>
      <c r="M900" t="s">
        <v>242</v>
      </c>
      <c r="N900">
        <v>1340</v>
      </c>
    </row>
    <row r="901" spans="1:14">
      <c r="A901">
        <v>90</v>
      </c>
      <c r="B901">
        <v>46207</v>
      </c>
      <c r="C901" t="s">
        <v>24</v>
      </c>
      <c r="D901" t="s">
        <v>36</v>
      </c>
      <c r="E901">
        <v>5</v>
      </c>
      <c r="F901">
        <v>46180</v>
      </c>
      <c r="G901" t="s">
        <v>36</v>
      </c>
      <c r="H901" t="s">
        <v>63</v>
      </c>
      <c r="I901">
        <v>1</v>
      </c>
      <c r="J901">
        <v>1</v>
      </c>
      <c r="K901" t="s">
        <v>27</v>
      </c>
      <c r="L901">
        <v>0</v>
      </c>
      <c r="M901" t="s">
        <v>172</v>
      </c>
      <c r="N901">
        <v>1303</v>
      </c>
    </row>
    <row r="902" spans="1:14">
      <c r="A902">
        <v>91</v>
      </c>
      <c r="B902">
        <v>46208</v>
      </c>
      <c r="C902" t="s">
        <v>19</v>
      </c>
      <c r="D902" t="s">
        <v>35</v>
      </c>
      <c r="E902">
        <v>1</v>
      </c>
      <c r="F902">
        <v>46202</v>
      </c>
      <c r="G902" t="s">
        <v>35</v>
      </c>
      <c r="H902" t="s">
        <v>46</v>
      </c>
      <c r="I902">
        <v>2</v>
      </c>
      <c r="J902">
        <v>1</v>
      </c>
      <c r="K902" t="s">
        <v>171</v>
      </c>
      <c r="L902">
        <v>1</v>
      </c>
      <c r="M902" t="s">
        <v>242</v>
      </c>
      <c r="N902">
        <v>1408</v>
      </c>
    </row>
    <row r="903" spans="1:14">
      <c r="A903">
        <v>91</v>
      </c>
      <c r="B903">
        <v>46208</v>
      </c>
      <c r="C903" t="s">
        <v>19</v>
      </c>
      <c r="D903" t="s">
        <v>35</v>
      </c>
      <c r="E903">
        <v>2</v>
      </c>
      <c r="F903">
        <v>46197</v>
      </c>
      <c r="G903" t="s">
        <v>35</v>
      </c>
      <c r="H903" t="s">
        <v>32</v>
      </c>
      <c r="I903">
        <v>3</v>
      </c>
      <c r="J903">
        <v>0</v>
      </c>
      <c r="K903" t="s">
        <v>171</v>
      </c>
      <c r="L903">
        <v>1</v>
      </c>
      <c r="M903" t="s">
        <v>242</v>
      </c>
      <c r="N903">
        <v>1387</v>
      </c>
    </row>
    <row r="904" spans="1:14">
      <c r="A904">
        <v>91</v>
      </c>
      <c r="B904">
        <v>46208</v>
      </c>
      <c r="C904" t="s">
        <v>19</v>
      </c>
      <c r="D904" t="s">
        <v>35</v>
      </c>
      <c r="E904">
        <v>3</v>
      </c>
      <c r="F904">
        <v>46192</v>
      </c>
      <c r="G904" t="s">
        <v>35</v>
      </c>
      <c r="H904" t="s">
        <v>31</v>
      </c>
      <c r="I904">
        <v>3</v>
      </c>
      <c r="J904">
        <v>0</v>
      </c>
      <c r="K904" t="s">
        <v>171</v>
      </c>
      <c r="L904">
        <v>1</v>
      </c>
      <c r="M904" t="s">
        <v>242</v>
      </c>
      <c r="N904">
        <v>1364</v>
      </c>
    </row>
    <row r="905" spans="1:14">
      <c r="A905">
        <v>91</v>
      </c>
      <c r="B905">
        <v>46208</v>
      </c>
      <c r="C905" t="s">
        <v>19</v>
      </c>
      <c r="D905" t="s">
        <v>35</v>
      </c>
      <c r="E905">
        <v>4</v>
      </c>
      <c r="F905">
        <v>46186</v>
      </c>
      <c r="G905" t="s">
        <v>35</v>
      </c>
      <c r="H905" t="s">
        <v>36</v>
      </c>
      <c r="I905">
        <v>1</v>
      </c>
      <c r="J905">
        <v>1</v>
      </c>
      <c r="K905" t="s">
        <v>27</v>
      </c>
      <c r="L905">
        <v>0</v>
      </c>
      <c r="M905" t="s">
        <v>242</v>
      </c>
      <c r="N905">
        <v>1340</v>
      </c>
    </row>
    <row r="906" spans="1:14">
      <c r="A906">
        <v>91</v>
      </c>
      <c r="B906">
        <v>46208</v>
      </c>
      <c r="C906" t="s">
        <v>19</v>
      </c>
      <c r="D906" t="s">
        <v>35</v>
      </c>
      <c r="E906">
        <v>5</v>
      </c>
      <c r="F906">
        <v>46179</v>
      </c>
      <c r="G906" t="s">
        <v>35</v>
      </c>
      <c r="H906" t="s">
        <v>58</v>
      </c>
      <c r="I906">
        <v>2</v>
      </c>
      <c r="J906">
        <v>1</v>
      </c>
      <c r="K906" t="s">
        <v>171</v>
      </c>
      <c r="L906">
        <v>1</v>
      </c>
      <c r="M906" t="s">
        <v>172</v>
      </c>
      <c r="N906">
        <v>1278</v>
      </c>
    </row>
    <row r="907" spans="1:14">
      <c r="A907">
        <v>91</v>
      </c>
      <c r="B907">
        <v>46208</v>
      </c>
      <c r="C907" t="s">
        <v>24</v>
      </c>
      <c r="D907" t="s">
        <v>63</v>
      </c>
      <c r="E907">
        <v>1</v>
      </c>
      <c r="F907">
        <v>46203</v>
      </c>
      <c r="G907" t="s">
        <v>63</v>
      </c>
      <c r="H907" t="s">
        <v>180</v>
      </c>
      <c r="I907">
        <v>2</v>
      </c>
      <c r="J907">
        <v>1</v>
      </c>
      <c r="K907" t="s">
        <v>171</v>
      </c>
      <c r="L907">
        <v>1</v>
      </c>
      <c r="M907" t="s">
        <v>242</v>
      </c>
      <c r="N907">
        <v>1411</v>
      </c>
    </row>
    <row r="908" spans="1:14">
      <c r="A908">
        <v>91</v>
      </c>
      <c r="B908">
        <v>46208</v>
      </c>
      <c r="C908" t="s">
        <v>24</v>
      </c>
      <c r="D908" t="s">
        <v>63</v>
      </c>
      <c r="E908">
        <v>2</v>
      </c>
      <c r="F908">
        <v>46199</v>
      </c>
      <c r="G908" t="s">
        <v>63</v>
      </c>
      <c r="H908" t="s">
        <v>60</v>
      </c>
      <c r="I908">
        <v>1</v>
      </c>
      <c r="J908">
        <v>4</v>
      </c>
      <c r="K908" t="s">
        <v>69</v>
      </c>
      <c r="L908">
        <v>0</v>
      </c>
      <c r="M908" t="s">
        <v>242</v>
      </c>
      <c r="N908">
        <v>1399</v>
      </c>
    </row>
    <row r="909" spans="1:14">
      <c r="A909">
        <v>91</v>
      </c>
      <c r="B909">
        <v>46208</v>
      </c>
      <c r="C909" t="s">
        <v>24</v>
      </c>
      <c r="D909" t="s">
        <v>63</v>
      </c>
      <c r="E909">
        <v>3</v>
      </c>
      <c r="F909">
        <v>46195</v>
      </c>
      <c r="G909" t="s">
        <v>63</v>
      </c>
      <c r="H909" t="s">
        <v>61</v>
      </c>
      <c r="I909">
        <v>3</v>
      </c>
      <c r="J909">
        <v>2</v>
      </c>
      <c r="K909" t="s">
        <v>171</v>
      </c>
      <c r="L909">
        <v>1</v>
      </c>
      <c r="M909" t="s">
        <v>242</v>
      </c>
      <c r="N909">
        <v>1376</v>
      </c>
    </row>
    <row r="910" spans="1:14">
      <c r="A910">
        <v>91</v>
      </c>
      <c r="B910">
        <v>46208</v>
      </c>
      <c r="C910" t="s">
        <v>24</v>
      </c>
      <c r="D910" t="s">
        <v>63</v>
      </c>
      <c r="E910">
        <v>4</v>
      </c>
      <c r="F910">
        <v>46189</v>
      </c>
      <c r="G910" t="s">
        <v>63</v>
      </c>
      <c r="H910" t="s">
        <v>62</v>
      </c>
      <c r="I910">
        <v>4</v>
      </c>
      <c r="J910">
        <v>1</v>
      </c>
      <c r="K910" t="s">
        <v>171</v>
      </c>
      <c r="L910">
        <v>1</v>
      </c>
      <c r="M910" t="s">
        <v>242</v>
      </c>
      <c r="N910">
        <v>1352</v>
      </c>
    </row>
    <row r="911" spans="1:14">
      <c r="A911">
        <v>91</v>
      </c>
      <c r="B911">
        <v>46208</v>
      </c>
      <c r="C911" t="s">
        <v>24</v>
      </c>
      <c r="D911" t="s">
        <v>63</v>
      </c>
      <c r="E911">
        <v>5</v>
      </c>
      <c r="F911">
        <v>46180</v>
      </c>
      <c r="G911" t="s">
        <v>63</v>
      </c>
      <c r="H911" t="s">
        <v>36</v>
      </c>
      <c r="I911">
        <v>1</v>
      </c>
      <c r="J911">
        <v>1</v>
      </c>
      <c r="K911" t="s">
        <v>27</v>
      </c>
      <c r="L911">
        <v>0</v>
      </c>
      <c r="M911" t="s">
        <v>172</v>
      </c>
      <c r="N911">
        <v>1303</v>
      </c>
    </row>
    <row r="912" spans="1:14">
      <c r="A912">
        <v>92</v>
      </c>
      <c r="B912">
        <v>46208</v>
      </c>
      <c r="C912" t="s">
        <v>19</v>
      </c>
      <c r="D912" t="s">
        <v>20</v>
      </c>
      <c r="E912">
        <v>1</v>
      </c>
      <c r="F912">
        <v>46203</v>
      </c>
      <c r="G912" t="s">
        <v>20</v>
      </c>
      <c r="H912" t="s">
        <v>41</v>
      </c>
      <c r="I912">
        <v>2</v>
      </c>
      <c r="J912">
        <v>0</v>
      </c>
      <c r="K912" t="s">
        <v>171</v>
      </c>
      <c r="L912">
        <v>1</v>
      </c>
      <c r="M912" t="s">
        <v>242</v>
      </c>
      <c r="N912">
        <v>1413</v>
      </c>
    </row>
    <row r="913" spans="1:14">
      <c r="A913">
        <v>92</v>
      </c>
      <c r="B913">
        <v>46208</v>
      </c>
      <c r="C913" t="s">
        <v>19</v>
      </c>
      <c r="D913" t="s">
        <v>20</v>
      </c>
      <c r="E913">
        <v>2</v>
      </c>
      <c r="F913">
        <v>46197</v>
      </c>
      <c r="G913" t="s">
        <v>20</v>
      </c>
      <c r="H913" t="s">
        <v>181</v>
      </c>
      <c r="I913">
        <v>3</v>
      </c>
      <c r="J913">
        <v>0</v>
      </c>
      <c r="K913" t="s">
        <v>171</v>
      </c>
      <c r="L913">
        <v>1</v>
      </c>
      <c r="M913" t="s">
        <v>242</v>
      </c>
      <c r="N913">
        <v>1383</v>
      </c>
    </row>
    <row r="914" spans="1:14">
      <c r="A914">
        <v>92</v>
      </c>
      <c r="B914">
        <v>46208</v>
      </c>
      <c r="C914" t="s">
        <v>19</v>
      </c>
      <c r="D914" t="s">
        <v>20</v>
      </c>
      <c r="E914">
        <v>3</v>
      </c>
      <c r="F914">
        <v>46191</v>
      </c>
      <c r="G914" t="s">
        <v>20</v>
      </c>
      <c r="H914" t="s">
        <v>177</v>
      </c>
      <c r="I914">
        <v>1</v>
      </c>
      <c r="J914">
        <v>0</v>
      </c>
      <c r="K914" t="s">
        <v>171</v>
      </c>
      <c r="L914">
        <v>1</v>
      </c>
      <c r="M914" t="s">
        <v>242</v>
      </c>
      <c r="N914">
        <v>1360</v>
      </c>
    </row>
    <row r="915" spans="1:14">
      <c r="A915">
        <v>92</v>
      </c>
      <c r="B915">
        <v>46208</v>
      </c>
      <c r="C915" t="s">
        <v>19</v>
      </c>
      <c r="D915" t="s">
        <v>20</v>
      </c>
      <c r="E915">
        <v>4</v>
      </c>
      <c r="F915">
        <v>46184</v>
      </c>
      <c r="G915" t="s">
        <v>20</v>
      </c>
      <c r="H915" t="s">
        <v>21</v>
      </c>
      <c r="I915">
        <v>2</v>
      </c>
      <c r="J915">
        <v>0</v>
      </c>
      <c r="K915" t="s">
        <v>171</v>
      </c>
      <c r="L915">
        <v>1</v>
      </c>
      <c r="M915" t="s">
        <v>242</v>
      </c>
      <c r="N915">
        <v>1335</v>
      </c>
    </row>
    <row r="916" spans="1:14">
      <c r="A916">
        <v>92</v>
      </c>
      <c r="B916">
        <v>46208</v>
      </c>
      <c r="C916" t="s">
        <v>19</v>
      </c>
      <c r="D916" t="s">
        <v>20</v>
      </c>
      <c r="E916">
        <v>5</v>
      </c>
      <c r="F916">
        <v>46177</v>
      </c>
      <c r="G916" t="s">
        <v>20</v>
      </c>
      <c r="H916" t="s">
        <v>170</v>
      </c>
      <c r="I916">
        <v>5</v>
      </c>
      <c r="J916">
        <v>1</v>
      </c>
      <c r="K916" t="s">
        <v>171</v>
      </c>
      <c r="L916">
        <v>1</v>
      </c>
      <c r="M916" t="s">
        <v>172</v>
      </c>
      <c r="N916">
        <v>1242</v>
      </c>
    </row>
    <row r="917" spans="1:14">
      <c r="A917">
        <v>92</v>
      </c>
      <c r="B917">
        <v>46208</v>
      </c>
      <c r="C917" t="s">
        <v>24</v>
      </c>
      <c r="D917" t="s">
        <v>72</v>
      </c>
      <c r="E917">
        <v>1</v>
      </c>
      <c r="F917">
        <v>46204</v>
      </c>
      <c r="G917" t="s">
        <v>72</v>
      </c>
      <c r="H917" t="s">
        <v>240</v>
      </c>
      <c r="I917">
        <v>2</v>
      </c>
      <c r="J917">
        <v>1</v>
      </c>
      <c r="K917" t="s">
        <v>171</v>
      </c>
      <c r="L917">
        <v>1</v>
      </c>
      <c r="M917" t="s">
        <v>242</v>
      </c>
      <c r="N917">
        <v>1414</v>
      </c>
    </row>
    <row r="918" spans="1:14">
      <c r="A918">
        <v>92</v>
      </c>
      <c r="B918">
        <v>46208</v>
      </c>
      <c r="C918" t="s">
        <v>24</v>
      </c>
      <c r="D918" t="s">
        <v>72</v>
      </c>
      <c r="E918">
        <v>2</v>
      </c>
      <c r="F918">
        <v>46200</v>
      </c>
      <c r="G918" t="s">
        <v>72</v>
      </c>
      <c r="H918" t="s">
        <v>71</v>
      </c>
      <c r="I918">
        <v>2</v>
      </c>
      <c r="J918">
        <v>0</v>
      </c>
      <c r="K918" t="s">
        <v>171</v>
      </c>
      <c r="L918">
        <v>1</v>
      </c>
      <c r="M918" t="s">
        <v>242</v>
      </c>
      <c r="N918">
        <v>1405</v>
      </c>
    </row>
    <row r="919" spans="1:14">
      <c r="A919">
        <v>92</v>
      </c>
      <c r="B919">
        <v>46208</v>
      </c>
      <c r="C919" t="s">
        <v>24</v>
      </c>
      <c r="D919" t="s">
        <v>72</v>
      </c>
      <c r="E919">
        <v>3</v>
      </c>
      <c r="F919">
        <v>46196</v>
      </c>
      <c r="G919" t="s">
        <v>72</v>
      </c>
      <c r="H919" t="s">
        <v>70</v>
      </c>
      <c r="I919">
        <v>0</v>
      </c>
      <c r="J919">
        <v>0</v>
      </c>
      <c r="K919" t="s">
        <v>27</v>
      </c>
      <c r="L919">
        <v>0</v>
      </c>
      <c r="M919" t="s">
        <v>242</v>
      </c>
      <c r="N919">
        <v>1381</v>
      </c>
    </row>
    <row r="920" spans="1:14">
      <c r="A920">
        <v>92</v>
      </c>
      <c r="B920">
        <v>46208</v>
      </c>
      <c r="C920" t="s">
        <v>24</v>
      </c>
      <c r="D920" t="s">
        <v>72</v>
      </c>
      <c r="E920">
        <v>4</v>
      </c>
      <c r="F920">
        <v>46190</v>
      </c>
      <c r="G920" t="s">
        <v>72</v>
      </c>
      <c r="H920" t="s">
        <v>73</v>
      </c>
      <c r="I920">
        <v>4</v>
      </c>
      <c r="J920">
        <v>2</v>
      </c>
      <c r="K920" t="s">
        <v>171</v>
      </c>
      <c r="L920">
        <v>1</v>
      </c>
      <c r="M920" t="s">
        <v>242</v>
      </c>
      <c r="N920">
        <v>1357</v>
      </c>
    </row>
    <row r="921" spans="1:14">
      <c r="A921">
        <v>92</v>
      </c>
      <c r="B921">
        <v>46208</v>
      </c>
      <c r="C921" t="s">
        <v>24</v>
      </c>
      <c r="D921" t="s">
        <v>72</v>
      </c>
      <c r="E921">
        <v>5</v>
      </c>
      <c r="F921">
        <v>46183</v>
      </c>
      <c r="G921" t="s">
        <v>72</v>
      </c>
      <c r="H921" t="s">
        <v>223</v>
      </c>
      <c r="I921">
        <v>3</v>
      </c>
      <c r="J921">
        <v>0</v>
      </c>
      <c r="K921" t="s">
        <v>171</v>
      </c>
      <c r="L921">
        <v>1</v>
      </c>
      <c r="M921" t="s">
        <v>172</v>
      </c>
      <c r="N921">
        <v>1332</v>
      </c>
    </row>
    <row r="922" spans="1:14">
      <c r="A922">
        <v>93</v>
      </c>
      <c r="B922">
        <v>46209</v>
      </c>
      <c r="C922" t="s">
        <v>19</v>
      </c>
      <c r="D922" t="s">
        <v>75</v>
      </c>
      <c r="E922">
        <v>1</v>
      </c>
      <c r="F922">
        <v>46205</v>
      </c>
      <c r="G922" t="s">
        <v>75</v>
      </c>
      <c r="H922" t="s">
        <v>73</v>
      </c>
      <c r="I922">
        <v>2</v>
      </c>
      <c r="J922">
        <v>1</v>
      </c>
      <c r="K922" t="s">
        <v>171</v>
      </c>
      <c r="L922">
        <v>1</v>
      </c>
      <c r="M922" t="s">
        <v>242</v>
      </c>
      <c r="N922">
        <v>1418</v>
      </c>
    </row>
    <row r="923" spans="1:14">
      <c r="A923">
        <v>93</v>
      </c>
      <c r="B923">
        <v>46209</v>
      </c>
      <c r="C923" t="s">
        <v>19</v>
      </c>
      <c r="D923" t="s">
        <v>75</v>
      </c>
      <c r="E923">
        <v>2</v>
      </c>
      <c r="F923">
        <v>46200</v>
      </c>
      <c r="G923" t="s">
        <v>75</v>
      </c>
      <c r="H923" t="s">
        <v>78</v>
      </c>
      <c r="I923">
        <v>0</v>
      </c>
      <c r="J923">
        <v>0</v>
      </c>
      <c r="K923" t="s">
        <v>27</v>
      </c>
      <c r="L923">
        <v>0</v>
      </c>
      <c r="M923" t="s">
        <v>242</v>
      </c>
      <c r="N923">
        <v>1403</v>
      </c>
    </row>
    <row r="924" spans="1:14">
      <c r="A924">
        <v>93</v>
      </c>
      <c r="B924">
        <v>46209</v>
      </c>
      <c r="C924" t="s">
        <v>19</v>
      </c>
      <c r="D924" t="s">
        <v>75</v>
      </c>
      <c r="E924">
        <v>3</v>
      </c>
      <c r="F924">
        <v>46196</v>
      </c>
      <c r="G924" t="s">
        <v>75</v>
      </c>
      <c r="H924" t="s">
        <v>77</v>
      </c>
      <c r="I924">
        <v>5</v>
      </c>
      <c r="J924">
        <v>0</v>
      </c>
      <c r="K924" t="s">
        <v>171</v>
      </c>
      <c r="L924">
        <v>1</v>
      </c>
      <c r="M924" t="s">
        <v>242</v>
      </c>
      <c r="N924">
        <v>1379</v>
      </c>
    </row>
    <row r="925" spans="1:14">
      <c r="A925">
        <v>93</v>
      </c>
      <c r="B925">
        <v>46209</v>
      </c>
      <c r="C925" t="s">
        <v>19</v>
      </c>
      <c r="D925" t="s">
        <v>75</v>
      </c>
      <c r="E925">
        <v>4</v>
      </c>
      <c r="F925">
        <v>46190</v>
      </c>
      <c r="G925" t="s">
        <v>75</v>
      </c>
      <c r="H925" t="s">
        <v>240</v>
      </c>
      <c r="I925">
        <v>1</v>
      </c>
      <c r="J925">
        <v>1</v>
      </c>
      <c r="K925" t="s">
        <v>27</v>
      </c>
      <c r="L925">
        <v>0</v>
      </c>
      <c r="M925" t="s">
        <v>242</v>
      </c>
      <c r="N925">
        <v>1355</v>
      </c>
    </row>
    <row r="926" spans="1:14">
      <c r="A926">
        <v>93</v>
      </c>
      <c r="B926">
        <v>46209</v>
      </c>
      <c r="C926" t="s">
        <v>19</v>
      </c>
      <c r="D926" t="s">
        <v>75</v>
      </c>
      <c r="E926">
        <v>5</v>
      </c>
      <c r="F926">
        <v>46183</v>
      </c>
      <c r="G926" t="s">
        <v>75</v>
      </c>
      <c r="H926" t="s">
        <v>225</v>
      </c>
      <c r="I926">
        <v>2</v>
      </c>
      <c r="J926">
        <v>1</v>
      </c>
      <c r="K926" t="s">
        <v>171</v>
      </c>
      <c r="L926">
        <v>1</v>
      </c>
      <c r="M926" t="s">
        <v>172</v>
      </c>
      <c r="N926">
        <v>1333</v>
      </c>
    </row>
    <row r="927" spans="1:14">
      <c r="A927">
        <v>93</v>
      </c>
      <c r="B927">
        <v>46209</v>
      </c>
      <c r="C927" t="s">
        <v>24</v>
      </c>
      <c r="D927" t="s">
        <v>52</v>
      </c>
      <c r="E927">
        <v>1</v>
      </c>
      <c r="F927">
        <v>46205</v>
      </c>
      <c r="G927" t="s">
        <v>52</v>
      </c>
      <c r="H927" t="s">
        <v>67</v>
      </c>
      <c r="I927">
        <v>3</v>
      </c>
      <c r="J927">
        <v>0</v>
      </c>
      <c r="K927" t="s">
        <v>171</v>
      </c>
      <c r="L927">
        <v>1</v>
      </c>
      <c r="M927" t="s">
        <v>242</v>
      </c>
      <c r="N927">
        <v>1417</v>
      </c>
    </row>
    <row r="928" spans="1:14">
      <c r="A928">
        <v>93</v>
      </c>
      <c r="B928">
        <v>46209</v>
      </c>
      <c r="C928" t="s">
        <v>24</v>
      </c>
      <c r="D928" t="s">
        <v>52</v>
      </c>
      <c r="E928">
        <v>2</v>
      </c>
      <c r="F928">
        <v>46199</v>
      </c>
      <c r="G928" t="s">
        <v>52</v>
      </c>
      <c r="H928" t="s">
        <v>51</v>
      </c>
      <c r="I928">
        <v>1</v>
      </c>
      <c r="J928">
        <v>0</v>
      </c>
      <c r="K928" t="s">
        <v>171</v>
      </c>
      <c r="L928">
        <v>1</v>
      </c>
      <c r="M928" t="s">
        <v>242</v>
      </c>
      <c r="N928">
        <v>1398</v>
      </c>
    </row>
    <row r="929" spans="1:14">
      <c r="A929">
        <v>93</v>
      </c>
      <c r="B929">
        <v>46209</v>
      </c>
      <c r="C929" t="s">
        <v>24</v>
      </c>
      <c r="D929" t="s">
        <v>52</v>
      </c>
      <c r="E929">
        <v>3</v>
      </c>
      <c r="F929">
        <v>46194</v>
      </c>
      <c r="G929" t="s">
        <v>52</v>
      </c>
      <c r="H929" t="s">
        <v>50</v>
      </c>
      <c r="I929">
        <v>4</v>
      </c>
      <c r="J929">
        <v>0</v>
      </c>
      <c r="K929" t="s">
        <v>171</v>
      </c>
      <c r="L929">
        <v>1</v>
      </c>
      <c r="M929" t="s">
        <v>242</v>
      </c>
      <c r="N929">
        <v>1373</v>
      </c>
    </row>
    <row r="930" spans="1:14">
      <c r="A930">
        <v>93</v>
      </c>
      <c r="B930">
        <v>46209</v>
      </c>
      <c r="C930" t="s">
        <v>24</v>
      </c>
      <c r="D930" t="s">
        <v>52</v>
      </c>
      <c r="E930">
        <v>4</v>
      </c>
      <c r="F930">
        <v>46188</v>
      </c>
      <c r="G930" t="s">
        <v>52</v>
      </c>
      <c r="H930" t="s">
        <v>217</v>
      </c>
      <c r="I930">
        <v>0</v>
      </c>
      <c r="J930">
        <v>0</v>
      </c>
      <c r="K930" t="s">
        <v>27</v>
      </c>
      <c r="L930">
        <v>0</v>
      </c>
      <c r="M930" t="s">
        <v>242</v>
      </c>
      <c r="N930">
        <v>1349</v>
      </c>
    </row>
    <row r="931" spans="1:14">
      <c r="A931">
        <v>93</v>
      </c>
      <c r="B931">
        <v>46209</v>
      </c>
      <c r="C931" t="s">
        <v>24</v>
      </c>
      <c r="D931" t="s">
        <v>52</v>
      </c>
      <c r="E931">
        <v>5</v>
      </c>
      <c r="F931">
        <v>46181</v>
      </c>
      <c r="G931" t="s">
        <v>52</v>
      </c>
      <c r="H931" t="s">
        <v>195</v>
      </c>
      <c r="I931">
        <v>3</v>
      </c>
      <c r="J931">
        <v>1</v>
      </c>
      <c r="K931" t="s">
        <v>171</v>
      </c>
      <c r="L931">
        <v>1</v>
      </c>
      <c r="M931" t="s">
        <v>172</v>
      </c>
      <c r="N931">
        <v>1307</v>
      </c>
    </row>
    <row r="932" spans="1:14">
      <c r="A932">
        <v>94</v>
      </c>
      <c r="B932">
        <v>46209</v>
      </c>
      <c r="C932" t="s">
        <v>19</v>
      </c>
      <c r="D932" t="s">
        <v>28</v>
      </c>
      <c r="E932">
        <v>1</v>
      </c>
      <c r="F932">
        <v>46204</v>
      </c>
      <c r="G932" t="s">
        <v>193</v>
      </c>
      <c r="H932" t="s">
        <v>26</v>
      </c>
      <c r="I932">
        <v>2</v>
      </c>
      <c r="J932">
        <v>0</v>
      </c>
      <c r="K932" t="s">
        <v>171</v>
      </c>
      <c r="L932">
        <v>1</v>
      </c>
      <c r="M932" t="s">
        <v>242</v>
      </c>
      <c r="N932">
        <v>1416</v>
      </c>
    </row>
    <row r="933" spans="1:14">
      <c r="A933">
        <v>94</v>
      </c>
      <c r="B933">
        <v>46209</v>
      </c>
      <c r="C933" t="s">
        <v>19</v>
      </c>
      <c r="D933" t="s">
        <v>28</v>
      </c>
      <c r="E933">
        <v>2</v>
      </c>
      <c r="F933">
        <v>46198</v>
      </c>
      <c r="G933" t="s">
        <v>193</v>
      </c>
      <c r="H933" t="s">
        <v>198</v>
      </c>
      <c r="I933">
        <v>2</v>
      </c>
      <c r="J933">
        <v>3</v>
      </c>
      <c r="K933" t="s">
        <v>69</v>
      </c>
      <c r="L933">
        <v>0</v>
      </c>
      <c r="M933" t="s">
        <v>242</v>
      </c>
      <c r="N933">
        <v>1389</v>
      </c>
    </row>
    <row r="934" spans="1:14">
      <c r="A934">
        <v>94</v>
      </c>
      <c r="B934">
        <v>46209</v>
      </c>
      <c r="C934" t="s">
        <v>19</v>
      </c>
      <c r="D934" t="s">
        <v>28</v>
      </c>
      <c r="E934">
        <v>3</v>
      </c>
      <c r="F934">
        <v>46192</v>
      </c>
      <c r="G934" t="s">
        <v>193</v>
      </c>
      <c r="H934" t="s">
        <v>33</v>
      </c>
      <c r="I934">
        <v>2</v>
      </c>
      <c r="J934">
        <v>0</v>
      </c>
      <c r="K934" t="s">
        <v>171</v>
      </c>
      <c r="L934">
        <v>1</v>
      </c>
      <c r="M934" t="s">
        <v>242</v>
      </c>
      <c r="N934">
        <v>1365</v>
      </c>
    </row>
    <row r="935" spans="1:14">
      <c r="A935">
        <v>94</v>
      </c>
      <c r="B935">
        <v>46209</v>
      </c>
      <c r="C935" t="s">
        <v>19</v>
      </c>
      <c r="D935" t="s">
        <v>28</v>
      </c>
      <c r="E935">
        <v>4</v>
      </c>
      <c r="F935">
        <v>46185</v>
      </c>
      <c r="G935" t="s">
        <v>193</v>
      </c>
      <c r="H935" t="s">
        <v>29</v>
      </c>
      <c r="I935">
        <v>4</v>
      </c>
      <c r="J935">
        <v>1</v>
      </c>
      <c r="K935" t="s">
        <v>171</v>
      </c>
      <c r="L935">
        <v>1</v>
      </c>
      <c r="M935" t="s">
        <v>242</v>
      </c>
      <c r="N935">
        <v>1338</v>
      </c>
    </row>
    <row r="936" spans="1:14">
      <c r="A936">
        <v>94</v>
      </c>
      <c r="B936">
        <v>46209</v>
      </c>
      <c r="C936" t="s">
        <v>19</v>
      </c>
      <c r="D936" t="s">
        <v>28</v>
      </c>
      <c r="E936">
        <v>5</v>
      </c>
      <c r="F936">
        <v>46179</v>
      </c>
      <c r="G936" t="s">
        <v>193</v>
      </c>
      <c r="H936" t="s">
        <v>42</v>
      </c>
      <c r="I936">
        <v>1</v>
      </c>
      <c r="J936">
        <v>2</v>
      </c>
      <c r="K936" t="s">
        <v>69</v>
      </c>
      <c r="L936">
        <v>0</v>
      </c>
      <c r="M936" t="s">
        <v>172</v>
      </c>
      <c r="N936">
        <v>1289</v>
      </c>
    </row>
    <row r="937" spans="1:14">
      <c r="A937">
        <v>94</v>
      </c>
      <c r="B937">
        <v>46209</v>
      </c>
      <c r="C937" t="s">
        <v>24</v>
      </c>
      <c r="D937" t="s">
        <v>57</v>
      </c>
      <c r="E937">
        <v>1</v>
      </c>
      <c r="F937">
        <v>46204</v>
      </c>
      <c r="G937" t="s">
        <v>57</v>
      </c>
      <c r="H937" t="s">
        <v>61</v>
      </c>
      <c r="I937">
        <v>3</v>
      </c>
      <c r="J937">
        <v>2</v>
      </c>
      <c r="K937" t="s">
        <v>171</v>
      </c>
      <c r="L937">
        <v>1</v>
      </c>
      <c r="M937" t="s">
        <v>242</v>
      </c>
      <c r="N937">
        <v>1415</v>
      </c>
    </row>
    <row r="938" spans="1:14">
      <c r="A938">
        <v>94</v>
      </c>
      <c r="B938">
        <v>46209</v>
      </c>
      <c r="C938" t="s">
        <v>24</v>
      </c>
      <c r="D938" t="s">
        <v>57</v>
      </c>
      <c r="E938">
        <v>2</v>
      </c>
      <c r="F938">
        <v>46199</v>
      </c>
      <c r="G938" t="s">
        <v>57</v>
      </c>
      <c r="H938" t="s">
        <v>56</v>
      </c>
      <c r="I938">
        <v>5</v>
      </c>
      <c r="J938">
        <v>1</v>
      </c>
      <c r="K938" t="s">
        <v>171</v>
      </c>
      <c r="L938">
        <v>1</v>
      </c>
      <c r="M938" t="s">
        <v>242</v>
      </c>
      <c r="N938">
        <v>1396</v>
      </c>
    </row>
    <row r="939" spans="1:14">
      <c r="A939">
        <v>94</v>
      </c>
      <c r="B939">
        <v>46209</v>
      </c>
      <c r="C939" t="s">
        <v>24</v>
      </c>
      <c r="D939" t="s">
        <v>57</v>
      </c>
      <c r="E939">
        <v>3</v>
      </c>
      <c r="F939">
        <v>46194</v>
      </c>
      <c r="G939" t="s">
        <v>57</v>
      </c>
      <c r="H939" t="s">
        <v>221</v>
      </c>
      <c r="I939">
        <v>0</v>
      </c>
      <c r="J939">
        <v>0</v>
      </c>
      <c r="K939" t="s">
        <v>27</v>
      </c>
      <c r="L939">
        <v>0</v>
      </c>
      <c r="M939" t="s">
        <v>242</v>
      </c>
      <c r="N939">
        <v>1371</v>
      </c>
    </row>
    <row r="940" spans="1:14">
      <c r="A940">
        <v>94</v>
      </c>
      <c r="B940">
        <v>46209</v>
      </c>
      <c r="C940" t="s">
        <v>24</v>
      </c>
      <c r="D940" t="s">
        <v>57</v>
      </c>
      <c r="E940">
        <v>4</v>
      </c>
      <c r="F940">
        <v>46188</v>
      </c>
      <c r="G940" t="s">
        <v>57</v>
      </c>
      <c r="H940" t="s">
        <v>58</v>
      </c>
      <c r="I940">
        <v>1</v>
      </c>
      <c r="J940">
        <v>1</v>
      </c>
      <c r="K940" t="s">
        <v>27</v>
      </c>
      <c r="L940">
        <v>0</v>
      </c>
      <c r="M940" t="s">
        <v>242</v>
      </c>
      <c r="N940">
        <v>1347</v>
      </c>
    </row>
    <row r="941" spans="1:14">
      <c r="A941">
        <v>94</v>
      </c>
      <c r="B941">
        <v>46209</v>
      </c>
      <c r="C941" t="s">
        <v>24</v>
      </c>
      <c r="D941" t="s">
        <v>57</v>
      </c>
      <c r="E941">
        <v>5</v>
      </c>
      <c r="F941">
        <v>46179</v>
      </c>
      <c r="G941" t="s">
        <v>57</v>
      </c>
      <c r="H941" t="s">
        <v>48</v>
      </c>
      <c r="I941">
        <v>5</v>
      </c>
      <c r="J941">
        <v>0</v>
      </c>
      <c r="K941" t="s">
        <v>171</v>
      </c>
      <c r="L941">
        <v>1</v>
      </c>
      <c r="M941" t="s">
        <v>172</v>
      </c>
      <c r="N941">
        <v>1275</v>
      </c>
    </row>
    <row r="942" spans="1:14">
      <c r="A942">
        <v>95</v>
      </c>
      <c r="B942">
        <v>46210</v>
      </c>
      <c r="C942" t="s">
        <v>19</v>
      </c>
      <c r="D942" t="s">
        <v>65</v>
      </c>
      <c r="E942">
        <v>1</v>
      </c>
      <c r="F942">
        <v>46206</v>
      </c>
      <c r="G942" t="s">
        <v>65</v>
      </c>
      <c r="H942" t="s">
        <v>217</v>
      </c>
      <c r="I942">
        <v>3</v>
      </c>
      <c r="J942">
        <v>2</v>
      </c>
      <c r="K942" t="s">
        <v>171</v>
      </c>
      <c r="L942">
        <v>1</v>
      </c>
      <c r="M942" t="s">
        <v>242</v>
      </c>
      <c r="N942">
        <v>1421</v>
      </c>
    </row>
    <row r="943" spans="1:14">
      <c r="A943">
        <v>95</v>
      </c>
      <c r="B943">
        <v>46210</v>
      </c>
      <c r="C943" t="s">
        <v>19</v>
      </c>
      <c r="D943" t="s">
        <v>65</v>
      </c>
      <c r="E943">
        <v>2</v>
      </c>
      <c r="F943">
        <v>46200</v>
      </c>
      <c r="G943" t="s">
        <v>65</v>
      </c>
      <c r="H943" t="s">
        <v>68</v>
      </c>
      <c r="I943">
        <v>3</v>
      </c>
      <c r="J943">
        <v>1</v>
      </c>
      <c r="K943" t="s">
        <v>171</v>
      </c>
      <c r="L943">
        <v>1</v>
      </c>
      <c r="M943" t="s">
        <v>242</v>
      </c>
      <c r="N943">
        <v>1402</v>
      </c>
    </row>
    <row r="944" spans="1:14">
      <c r="A944">
        <v>95</v>
      </c>
      <c r="B944">
        <v>46210</v>
      </c>
      <c r="C944" t="s">
        <v>19</v>
      </c>
      <c r="D944" t="s">
        <v>65</v>
      </c>
      <c r="E944">
        <v>3</v>
      </c>
      <c r="F944">
        <v>46195</v>
      </c>
      <c r="G944" t="s">
        <v>65</v>
      </c>
      <c r="H944" t="s">
        <v>67</v>
      </c>
      <c r="I944">
        <v>2</v>
      </c>
      <c r="J944">
        <v>0</v>
      </c>
      <c r="K944" t="s">
        <v>171</v>
      </c>
      <c r="L944">
        <v>1</v>
      </c>
      <c r="M944" t="s">
        <v>242</v>
      </c>
      <c r="N944">
        <v>1377</v>
      </c>
    </row>
    <row r="945" spans="1:14">
      <c r="A945">
        <v>95</v>
      </c>
      <c r="B945">
        <v>46210</v>
      </c>
      <c r="C945" t="s">
        <v>19</v>
      </c>
      <c r="D945" t="s">
        <v>65</v>
      </c>
      <c r="E945">
        <v>4</v>
      </c>
      <c r="F945">
        <v>46189</v>
      </c>
      <c r="G945" t="s">
        <v>65</v>
      </c>
      <c r="H945" t="s">
        <v>66</v>
      </c>
      <c r="I945">
        <v>3</v>
      </c>
      <c r="J945">
        <v>0</v>
      </c>
      <c r="K945" t="s">
        <v>171</v>
      </c>
      <c r="L945">
        <v>1</v>
      </c>
      <c r="M945" t="s">
        <v>242</v>
      </c>
      <c r="N945">
        <v>1353</v>
      </c>
    </row>
    <row r="946" spans="1:14">
      <c r="A946">
        <v>95</v>
      </c>
      <c r="B946">
        <v>46210</v>
      </c>
      <c r="C946" t="s">
        <v>19</v>
      </c>
      <c r="D946" t="s">
        <v>65</v>
      </c>
      <c r="E946">
        <v>5</v>
      </c>
      <c r="F946">
        <v>46182</v>
      </c>
      <c r="G946" t="s">
        <v>65</v>
      </c>
      <c r="H946" t="s">
        <v>188</v>
      </c>
      <c r="I946">
        <v>3</v>
      </c>
      <c r="J946">
        <v>0</v>
      </c>
      <c r="K946" t="s">
        <v>171</v>
      </c>
      <c r="L946">
        <v>1</v>
      </c>
      <c r="M946" t="s">
        <v>172</v>
      </c>
      <c r="N946">
        <v>1310</v>
      </c>
    </row>
    <row r="947" spans="1:14">
      <c r="A947">
        <v>95</v>
      </c>
      <c r="B947">
        <v>46210</v>
      </c>
      <c r="C947" t="s">
        <v>24</v>
      </c>
      <c r="D947" t="s">
        <v>58</v>
      </c>
      <c r="E947">
        <v>1</v>
      </c>
      <c r="F947">
        <v>46206</v>
      </c>
      <c r="G947" t="s">
        <v>58</v>
      </c>
      <c r="H947" t="s">
        <v>33</v>
      </c>
      <c r="I947">
        <v>1</v>
      </c>
      <c r="J947">
        <v>1</v>
      </c>
      <c r="K947" t="s">
        <v>27</v>
      </c>
      <c r="L947">
        <v>0</v>
      </c>
      <c r="M947" t="s">
        <v>242</v>
      </c>
      <c r="N947">
        <v>1420</v>
      </c>
    </row>
    <row r="948" spans="1:14">
      <c r="A948">
        <v>95</v>
      </c>
      <c r="B948">
        <v>46210</v>
      </c>
      <c r="C948" t="s">
        <v>24</v>
      </c>
      <c r="D948" t="s">
        <v>58</v>
      </c>
      <c r="E948">
        <v>2</v>
      </c>
      <c r="F948">
        <v>46199</v>
      </c>
      <c r="G948" t="s">
        <v>58</v>
      </c>
      <c r="H948" t="s">
        <v>221</v>
      </c>
      <c r="I948">
        <v>1</v>
      </c>
      <c r="J948">
        <v>1</v>
      </c>
      <c r="K948" t="s">
        <v>27</v>
      </c>
      <c r="L948">
        <v>0</v>
      </c>
      <c r="M948" t="s">
        <v>242</v>
      </c>
      <c r="N948">
        <v>1395</v>
      </c>
    </row>
    <row r="949" spans="1:14">
      <c r="A949">
        <v>95</v>
      </c>
      <c r="B949">
        <v>46210</v>
      </c>
      <c r="C949" t="s">
        <v>24</v>
      </c>
      <c r="D949" t="s">
        <v>58</v>
      </c>
      <c r="E949">
        <v>3</v>
      </c>
      <c r="F949">
        <v>46194</v>
      </c>
      <c r="G949" t="s">
        <v>58</v>
      </c>
      <c r="H949" t="s">
        <v>56</v>
      </c>
      <c r="I949">
        <v>3</v>
      </c>
      <c r="J949">
        <v>1</v>
      </c>
      <c r="K949" t="s">
        <v>171</v>
      </c>
      <c r="L949">
        <v>1</v>
      </c>
      <c r="M949" t="s">
        <v>242</v>
      </c>
      <c r="N949">
        <v>1372</v>
      </c>
    </row>
    <row r="950" spans="1:14">
      <c r="A950">
        <v>95</v>
      </c>
      <c r="B950">
        <v>46210</v>
      </c>
      <c r="C950" t="s">
        <v>24</v>
      </c>
      <c r="D950" t="s">
        <v>58</v>
      </c>
      <c r="E950">
        <v>4</v>
      </c>
      <c r="F950">
        <v>46188</v>
      </c>
      <c r="G950" t="s">
        <v>58</v>
      </c>
      <c r="H950" t="s">
        <v>57</v>
      </c>
      <c r="I950">
        <v>1</v>
      </c>
      <c r="J950">
        <v>1</v>
      </c>
      <c r="K950" t="s">
        <v>27</v>
      </c>
      <c r="L950">
        <v>0</v>
      </c>
      <c r="M950" t="s">
        <v>242</v>
      </c>
      <c r="N950">
        <v>1347</v>
      </c>
    </row>
    <row r="951" spans="1:14">
      <c r="A951">
        <v>95</v>
      </c>
      <c r="B951">
        <v>46210</v>
      </c>
      <c r="C951" t="s">
        <v>24</v>
      </c>
      <c r="D951" t="s">
        <v>58</v>
      </c>
      <c r="E951">
        <v>5</v>
      </c>
      <c r="F951">
        <v>46179</v>
      </c>
      <c r="G951" t="s">
        <v>58</v>
      </c>
      <c r="H951" t="s">
        <v>35</v>
      </c>
      <c r="I951">
        <v>1</v>
      </c>
      <c r="J951">
        <v>2</v>
      </c>
      <c r="K951" t="s">
        <v>69</v>
      </c>
      <c r="L951">
        <v>0</v>
      </c>
      <c r="M951" t="s">
        <v>172</v>
      </c>
      <c r="N951">
        <v>1278</v>
      </c>
    </row>
    <row r="952" spans="1:14">
      <c r="A952">
        <v>96</v>
      </c>
      <c r="B952">
        <v>46210</v>
      </c>
      <c r="C952" t="s">
        <v>19</v>
      </c>
      <c r="D952" t="s">
        <v>38</v>
      </c>
      <c r="E952">
        <v>1</v>
      </c>
      <c r="F952">
        <v>46205</v>
      </c>
      <c r="G952" t="s">
        <v>38</v>
      </c>
      <c r="H952" t="s">
        <v>66</v>
      </c>
      <c r="I952">
        <v>2</v>
      </c>
      <c r="J952">
        <v>0</v>
      </c>
      <c r="K952" t="s">
        <v>171</v>
      </c>
      <c r="L952">
        <v>1</v>
      </c>
      <c r="M952" t="s">
        <v>242</v>
      </c>
      <c r="N952">
        <v>1419</v>
      </c>
    </row>
    <row r="953" spans="1:14">
      <c r="A953">
        <v>96</v>
      </c>
      <c r="B953">
        <v>46210</v>
      </c>
      <c r="C953" t="s">
        <v>19</v>
      </c>
      <c r="D953" t="s">
        <v>38</v>
      </c>
      <c r="E953">
        <v>2</v>
      </c>
      <c r="F953">
        <v>46197</v>
      </c>
      <c r="G953" t="s">
        <v>38</v>
      </c>
      <c r="H953" t="s">
        <v>25</v>
      </c>
      <c r="I953">
        <v>2</v>
      </c>
      <c r="J953">
        <v>1</v>
      </c>
      <c r="K953" t="s">
        <v>171</v>
      </c>
      <c r="L953">
        <v>1</v>
      </c>
      <c r="M953" t="s">
        <v>242</v>
      </c>
      <c r="N953">
        <v>1385</v>
      </c>
    </row>
    <row r="954" spans="1:14">
      <c r="A954">
        <v>96</v>
      </c>
      <c r="B954">
        <v>46210</v>
      </c>
      <c r="C954" t="s">
        <v>19</v>
      </c>
      <c r="D954" t="s">
        <v>38</v>
      </c>
      <c r="E954">
        <v>3</v>
      </c>
      <c r="F954">
        <v>46191</v>
      </c>
      <c r="G954" t="s">
        <v>38</v>
      </c>
      <c r="H954" t="s">
        <v>26</v>
      </c>
      <c r="I954">
        <v>4</v>
      </c>
      <c r="J954">
        <v>1</v>
      </c>
      <c r="K954" t="s">
        <v>171</v>
      </c>
      <c r="L954">
        <v>1</v>
      </c>
      <c r="M954" t="s">
        <v>242</v>
      </c>
      <c r="N954">
        <v>1361</v>
      </c>
    </row>
    <row r="955" spans="1:14">
      <c r="A955">
        <v>96</v>
      </c>
      <c r="B955">
        <v>46210</v>
      </c>
      <c r="C955" t="s">
        <v>19</v>
      </c>
      <c r="D955" t="s">
        <v>38</v>
      </c>
      <c r="E955">
        <v>4</v>
      </c>
      <c r="F955">
        <v>46186</v>
      </c>
      <c r="G955" t="s">
        <v>38</v>
      </c>
      <c r="H955" t="s">
        <v>37</v>
      </c>
      <c r="I955">
        <v>1</v>
      </c>
      <c r="J955">
        <v>1</v>
      </c>
      <c r="K955" t="s">
        <v>27</v>
      </c>
      <c r="L955">
        <v>0</v>
      </c>
      <c r="M955" t="s">
        <v>242</v>
      </c>
      <c r="N955">
        <v>1339</v>
      </c>
    </row>
    <row r="956" spans="1:14">
      <c r="A956">
        <v>96</v>
      </c>
      <c r="B956">
        <v>46210</v>
      </c>
      <c r="C956" t="s">
        <v>19</v>
      </c>
      <c r="D956" t="s">
        <v>38</v>
      </c>
      <c r="E956">
        <v>5</v>
      </c>
      <c r="F956">
        <v>46179</v>
      </c>
      <c r="G956" t="s">
        <v>38</v>
      </c>
      <c r="H956" t="s">
        <v>33</v>
      </c>
      <c r="I956">
        <v>1</v>
      </c>
      <c r="J956">
        <v>1</v>
      </c>
      <c r="K956" t="s">
        <v>27</v>
      </c>
      <c r="L956">
        <v>0</v>
      </c>
      <c r="M956" t="s">
        <v>172</v>
      </c>
      <c r="N956">
        <v>1274</v>
      </c>
    </row>
    <row r="957" spans="1:14">
      <c r="A957">
        <v>96</v>
      </c>
      <c r="B957">
        <v>46210</v>
      </c>
      <c r="C957" t="s">
        <v>24</v>
      </c>
      <c r="D957" t="s">
        <v>78</v>
      </c>
      <c r="E957">
        <v>1</v>
      </c>
      <c r="F957">
        <v>46206</v>
      </c>
      <c r="G957" t="s">
        <v>78</v>
      </c>
      <c r="H957" t="s">
        <v>70</v>
      </c>
      <c r="I957">
        <v>1</v>
      </c>
      <c r="J957">
        <v>0</v>
      </c>
      <c r="K957" t="s">
        <v>171</v>
      </c>
      <c r="L957">
        <v>1</v>
      </c>
      <c r="M957" t="s">
        <v>242</v>
      </c>
      <c r="N957">
        <v>1422</v>
      </c>
    </row>
    <row r="958" spans="1:14">
      <c r="A958">
        <v>96</v>
      </c>
      <c r="B958">
        <v>46210</v>
      </c>
      <c r="C958" t="s">
        <v>24</v>
      </c>
      <c r="D958" t="s">
        <v>78</v>
      </c>
      <c r="E958">
        <v>2</v>
      </c>
      <c r="F958">
        <v>46200</v>
      </c>
      <c r="G958" t="s">
        <v>78</v>
      </c>
      <c r="H958" t="s">
        <v>75</v>
      </c>
      <c r="I958">
        <v>0</v>
      </c>
      <c r="J958">
        <v>0</v>
      </c>
      <c r="K958" t="s">
        <v>27</v>
      </c>
      <c r="L958">
        <v>0</v>
      </c>
      <c r="M958" t="s">
        <v>242</v>
      </c>
      <c r="N958">
        <v>1403</v>
      </c>
    </row>
    <row r="959" spans="1:14">
      <c r="A959">
        <v>96</v>
      </c>
      <c r="B959">
        <v>46210</v>
      </c>
      <c r="C959" t="s">
        <v>24</v>
      </c>
      <c r="D959" t="s">
        <v>78</v>
      </c>
      <c r="E959">
        <v>3</v>
      </c>
      <c r="F959">
        <v>46196</v>
      </c>
      <c r="G959" t="s">
        <v>78</v>
      </c>
      <c r="H959" t="s">
        <v>240</v>
      </c>
      <c r="I959">
        <v>1</v>
      </c>
      <c r="J959">
        <v>0</v>
      </c>
      <c r="K959" t="s">
        <v>171</v>
      </c>
      <c r="L959">
        <v>1</v>
      </c>
      <c r="M959" t="s">
        <v>242</v>
      </c>
      <c r="N959">
        <v>1380</v>
      </c>
    </row>
    <row r="960" spans="1:14">
      <c r="A960">
        <v>96</v>
      </c>
      <c r="B960">
        <v>46210</v>
      </c>
      <c r="C960" t="s">
        <v>24</v>
      </c>
      <c r="D960" t="s">
        <v>78</v>
      </c>
      <c r="E960">
        <v>4</v>
      </c>
      <c r="F960">
        <v>46190</v>
      </c>
      <c r="G960" t="s">
        <v>78</v>
      </c>
      <c r="H960" t="s">
        <v>77</v>
      </c>
      <c r="I960">
        <v>3</v>
      </c>
      <c r="J960">
        <v>1</v>
      </c>
      <c r="K960" t="s">
        <v>171</v>
      </c>
      <c r="L960">
        <v>1</v>
      </c>
      <c r="M960" t="s">
        <v>242</v>
      </c>
      <c r="N960">
        <v>1356</v>
      </c>
    </row>
    <row r="961" spans="1:14">
      <c r="A961">
        <v>96</v>
      </c>
      <c r="B961">
        <v>46210</v>
      </c>
      <c r="C961" t="s">
        <v>24</v>
      </c>
      <c r="D961" t="s">
        <v>78</v>
      </c>
      <c r="E961">
        <v>5</v>
      </c>
      <c r="F961">
        <v>46180</v>
      </c>
      <c r="G961" t="s">
        <v>78</v>
      </c>
      <c r="H961" t="s">
        <v>68</v>
      </c>
      <c r="I961">
        <v>2</v>
      </c>
      <c r="J961">
        <v>0</v>
      </c>
      <c r="K961" t="s">
        <v>171</v>
      </c>
      <c r="L961">
        <v>1</v>
      </c>
      <c r="M961" t="s">
        <v>172</v>
      </c>
      <c r="N961">
        <v>1300</v>
      </c>
    </row>
    <row r="962" spans="1:14">
      <c r="A962">
        <v>97</v>
      </c>
      <c r="B962">
        <v>46212</v>
      </c>
      <c r="C962" t="s">
        <v>19</v>
      </c>
      <c r="D962" t="s">
        <v>60</v>
      </c>
      <c r="E962">
        <v>1</v>
      </c>
      <c r="F962">
        <v>46207</v>
      </c>
      <c r="G962" t="s">
        <v>60</v>
      </c>
      <c r="H962" t="s">
        <v>29</v>
      </c>
      <c r="I962">
        <v>1</v>
      </c>
      <c r="J962">
        <v>0</v>
      </c>
      <c r="K962" t="s">
        <v>171</v>
      </c>
      <c r="L962">
        <v>1</v>
      </c>
      <c r="M962" t="s">
        <v>242</v>
      </c>
      <c r="N962">
        <v>1424</v>
      </c>
    </row>
    <row r="963" spans="1:14">
      <c r="A963">
        <v>97</v>
      </c>
      <c r="B963">
        <v>46212</v>
      </c>
      <c r="C963" t="s">
        <v>19</v>
      </c>
      <c r="D963" t="s">
        <v>60</v>
      </c>
      <c r="E963">
        <v>2</v>
      </c>
      <c r="F963">
        <v>46203</v>
      </c>
      <c r="G963" t="s">
        <v>60</v>
      </c>
      <c r="H963" t="s">
        <v>47</v>
      </c>
      <c r="I963">
        <v>3</v>
      </c>
      <c r="J963">
        <v>0</v>
      </c>
      <c r="K963" t="s">
        <v>171</v>
      </c>
      <c r="L963">
        <v>1</v>
      </c>
      <c r="M963" t="s">
        <v>242</v>
      </c>
      <c r="N963">
        <v>1412</v>
      </c>
    </row>
    <row r="964" spans="1:14">
      <c r="A964">
        <v>97</v>
      </c>
      <c r="B964">
        <v>46212</v>
      </c>
      <c r="C964" t="s">
        <v>19</v>
      </c>
      <c r="D964" t="s">
        <v>60</v>
      </c>
      <c r="E964">
        <v>3</v>
      </c>
      <c r="F964">
        <v>46199</v>
      </c>
      <c r="G964" t="s">
        <v>60</v>
      </c>
      <c r="H964" t="s">
        <v>63</v>
      </c>
      <c r="I964">
        <v>4</v>
      </c>
      <c r="J964">
        <v>1</v>
      </c>
      <c r="K964" t="s">
        <v>171</v>
      </c>
      <c r="L964">
        <v>1</v>
      </c>
      <c r="M964" t="s">
        <v>242</v>
      </c>
      <c r="N964">
        <v>1399</v>
      </c>
    </row>
    <row r="965" spans="1:14">
      <c r="A965">
        <v>97</v>
      </c>
      <c r="B965">
        <v>46212</v>
      </c>
      <c r="C965" t="s">
        <v>19</v>
      </c>
      <c r="D965" t="s">
        <v>60</v>
      </c>
      <c r="E965">
        <v>4</v>
      </c>
      <c r="F965">
        <v>46195</v>
      </c>
      <c r="G965" t="s">
        <v>60</v>
      </c>
      <c r="H965" t="s">
        <v>62</v>
      </c>
      <c r="I965">
        <v>3</v>
      </c>
      <c r="J965">
        <v>0</v>
      </c>
      <c r="K965" t="s">
        <v>171</v>
      </c>
      <c r="L965">
        <v>1</v>
      </c>
      <c r="M965" t="s">
        <v>242</v>
      </c>
      <c r="N965">
        <v>1375</v>
      </c>
    </row>
    <row r="966" spans="1:14">
      <c r="A966">
        <v>97</v>
      </c>
      <c r="B966">
        <v>46212</v>
      </c>
      <c r="C966" t="s">
        <v>19</v>
      </c>
      <c r="D966" t="s">
        <v>60</v>
      </c>
      <c r="E966">
        <v>5</v>
      </c>
      <c r="F966">
        <v>46189</v>
      </c>
      <c r="G966" t="s">
        <v>60</v>
      </c>
      <c r="H966" t="s">
        <v>61</v>
      </c>
      <c r="I966">
        <v>3</v>
      </c>
      <c r="J966">
        <v>1</v>
      </c>
      <c r="K966" t="s">
        <v>171</v>
      </c>
      <c r="L966">
        <v>1</v>
      </c>
      <c r="M966" t="s">
        <v>242</v>
      </c>
      <c r="N966">
        <v>1351</v>
      </c>
    </row>
    <row r="967" spans="1:14">
      <c r="A967">
        <v>97</v>
      </c>
      <c r="B967">
        <v>46212</v>
      </c>
      <c r="C967" t="s">
        <v>24</v>
      </c>
      <c r="D967" t="s">
        <v>36</v>
      </c>
      <c r="E967">
        <v>1</v>
      </c>
      <c r="F967">
        <v>46207</v>
      </c>
      <c r="G967" t="s">
        <v>36</v>
      </c>
      <c r="H967" t="s">
        <v>25</v>
      </c>
      <c r="I967">
        <v>3</v>
      </c>
      <c r="J967">
        <v>0</v>
      </c>
      <c r="K967" t="s">
        <v>171</v>
      </c>
      <c r="L967">
        <v>1</v>
      </c>
      <c r="M967" t="s">
        <v>242</v>
      </c>
      <c r="N967">
        <v>1423</v>
      </c>
    </row>
    <row r="968" spans="1:14">
      <c r="A968">
        <v>97</v>
      </c>
      <c r="B968">
        <v>46212</v>
      </c>
      <c r="C968" t="s">
        <v>24</v>
      </c>
      <c r="D968" t="s">
        <v>36</v>
      </c>
      <c r="E968">
        <v>2</v>
      </c>
      <c r="F968">
        <v>46202</v>
      </c>
      <c r="G968" t="s">
        <v>36</v>
      </c>
      <c r="H968" t="s">
        <v>45</v>
      </c>
      <c r="I968">
        <v>1</v>
      </c>
      <c r="J968">
        <v>1</v>
      </c>
      <c r="K968" t="s">
        <v>27</v>
      </c>
      <c r="L968">
        <v>0</v>
      </c>
      <c r="M968" t="s">
        <v>242</v>
      </c>
      <c r="N968">
        <v>1410</v>
      </c>
    </row>
    <row r="969" spans="1:14">
      <c r="A969">
        <v>97</v>
      </c>
      <c r="B969">
        <v>46212</v>
      </c>
      <c r="C969" t="s">
        <v>24</v>
      </c>
      <c r="D969" t="s">
        <v>36</v>
      </c>
      <c r="E969">
        <v>3</v>
      </c>
      <c r="F969">
        <v>46197</v>
      </c>
      <c r="G969" t="s">
        <v>36</v>
      </c>
      <c r="H969" t="s">
        <v>31</v>
      </c>
      <c r="I969">
        <v>4</v>
      </c>
      <c r="J969">
        <v>2</v>
      </c>
      <c r="K969" t="s">
        <v>171</v>
      </c>
      <c r="L969">
        <v>1</v>
      </c>
      <c r="M969" t="s">
        <v>242</v>
      </c>
      <c r="N969">
        <v>1388</v>
      </c>
    </row>
    <row r="970" spans="1:14">
      <c r="A970">
        <v>97</v>
      </c>
      <c r="B970">
        <v>46212</v>
      </c>
      <c r="C970" t="s">
        <v>24</v>
      </c>
      <c r="D970" t="s">
        <v>36</v>
      </c>
      <c r="E970">
        <v>4</v>
      </c>
      <c r="F970">
        <v>46192</v>
      </c>
      <c r="G970" t="s">
        <v>36</v>
      </c>
      <c r="H970" t="s">
        <v>32</v>
      </c>
      <c r="I970">
        <v>1</v>
      </c>
      <c r="J970">
        <v>0</v>
      </c>
      <c r="K970" t="s">
        <v>171</v>
      </c>
      <c r="L970">
        <v>1</v>
      </c>
      <c r="M970" t="s">
        <v>242</v>
      </c>
      <c r="N970">
        <v>1363</v>
      </c>
    </row>
    <row r="971" spans="1:14">
      <c r="A971">
        <v>97</v>
      </c>
      <c r="B971">
        <v>46212</v>
      </c>
      <c r="C971" t="s">
        <v>24</v>
      </c>
      <c r="D971" t="s">
        <v>36</v>
      </c>
      <c r="E971">
        <v>5</v>
      </c>
      <c r="F971">
        <v>46186</v>
      </c>
      <c r="G971" t="s">
        <v>36</v>
      </c>
      <c r="H971" t="s">
        <v>35</v>
      </c>
      <c r="I971">
        <v>1</v>
      </c>
      <c r="J971">
        <v>1</v>
      </c>
      <c r="K971" t="s">
        <v>27</v>
      </c>
      <c r="L971">
        <v>0</v>
      </c>
      <c r="M971" t="s">
        <v>242</v>
      </c>
      <c r="N971">
        <v>1340</v>
      </c>
    </row>
    <row r="972" spans="1:14">
      <c r="A972">
        <v>98</v>
      </c>
      <c r="B972">
        <v>46213</v>
      </c>
      <c r="C972" t="s">
        <v>19</v>
      </c>
      <c r="D972" t="s">
        <v>52</v>
      </c>
      <c r="E972">
        <v>1</v>
      </c>
      <c r="F972">
        <v>46209</v>
      </c>
      <c r="G972" t="s">
        <v>52</v>
      </c>
      <c r="H972" t="s">
        <v>75</v>
      </c>
      <c r="I972">
        <v>1</v>
      </c>
      <c r="J972">
        <v>0</v>
      </c>
      <c r="K972" t="s">
        <v>171</v>
      </c>
      <c r="L972">
        <v>1</v>
      </c>
      <c r="M972" t="s">
        <v>242</v>
      </c>
      <c r="N972">
        <v>1427</v>
      </c>
    </row>
    <row r="973" spans="1:14">
      <c r="A973">
        <v>98</v>
      </c>
      <c r="B973">
        <v>46213</v>
      </c>
      <c r="C973" t="s">
        <v>19</v>
      </c>
      <c r="D973" t="s">
        <v>52</v>
      </c>
      <c r="E973">
        <v>2</v>
      </c>
      <c r="F973">
        <v>46205</v>
      </c>
      <c r="G973" t="s">
        <v>52</v>
      </c>
      <c r="H973" t="s">
        <v>67</v>
      </c>
      <c r="I973">
        <v>3</v>
      </c>
      <c r="J973">
        <v>0</v>
      </c>
      <c r="K973" t="s">
        <v>171</v>
      </c>
      <c r="L973">
        <v>1</v>
      </c>
      <c r="M973" t="s">
        <v>242</v>
      </c>
      <c r="N973">
        <v>1417</v>
      </c>
    </row>
    <row r="974" spans="1:14">
      <c r="A974">
        <v>98</v>
      </c>
      <c r="B974">
        <v>46213</v>
      </c>
      <c r="C974" t="s">
        <v>19</v>
      </c>
      <c r="D974" t="s">
        <v>52</v>
      </c>
      <c r="E974">
        <v>3</v>
      </c>
      <c r="F974">
        <v>46199</v>
      </c>
      <c r="G974" t="s">
        <v>52</v>
      </c>
      <c r="H974" t="s">
        <v>51</v>
      </c>
      <c r="I974">
        <v>1</v>
      </c>
      <c r="J974">
        <v>0</v>
      </c>
      <c r="K974" t="s">
        <v>171</v>
      </c>
      <c r="L974">
        <v>1</v>
      </c>
      <c r="M974" t="s">
        <v>242</v>
      </c>
      <c r="N974">
        <v>1398</v>
      </c>
    </row>
    <row r="975" spans="1:14">
      <c r="A975">
        <v>98</v>
      </c>
      <c r="B975">
        <v>46213</v>
      </c>
      <c r="C975" t="s">
        <v>19</v>
      </c>
      <c r="D975" t="s">
        <v>52</v>
      </c>
      <c r="E975">
        <v>4</v>
      </c>
      <c r="F975">
        <v>46194</v>
      </c>
      <c r="G975" t="s">
        <v>52</v>
      </c>
      <c r="H975" t="s">
        <v>50</v>
      </c>
      <c r="I975">
        <v>4</v>
      </c>
      <c r="J975">
        <v>0</v>
      </c>
      <c r="K975" t="s">
        <v>171</v>
      </c>
      <c r="L975">
        <v>1</v>
      </c>
      <c r="M975" t="s">
        <v>242</v>
      </c>
      <c r="N975">
        <v>1373</v>
      </c>
    </row>
    <row r="976" spans="1:14">
      <c r="A976">
        <v>98</v>
      </c>
      <c r="B976">
        <v>46213</v>
      </c>
      <c r="C976" t="s">
        <v>19</v>
      </c>
      <c r="D976" t="s">
        <v>52</v>
      </c>
      <c r="E976">
        <v>5</v>
      </c>
      <c r="F976">
        <v>46188</v>
      </c>
      <c r="G976" t="s">
        <v>52</v>
      </c>
      <c r="H976" t="s">
        <v>217</v>
      </c>
      <c r="I976">
        <v>0</v>
      </c>
      <c r="J976">
        <v>0</v>
      </c>
      <c r="K976" t="s">
        <v>27</v>
      </c>
      <c r="L976">
        <v>0</v>
      </c>
      <c r="M976" t="s">
        <v>242</v>
      </c>
      <c r="N976">
        <v>1349</v>
      </c>
    </row>
    <row r="977" spans="1:14">
      <c r="A977">
        <v>98</v>
      </c>
      <c r="B977">
        <v>46213</v>
      </c>
      <c r="C977" t="s">
        <v>24</v>
      </c>
      <c r="D977" t="s">
        <v>57</v>
      </c>
      <c r="E977">
        <v>1</v>
      </c>
      <c r="F977">
        <v>46209</v>
      </c>
      <c r="G977" t="s">
        <v>57</v>
      </c>
      <c r="H977" t="s">
        <v>193</v>
      </c>
      <c r="I977">
        <v>4</v>
      </c>
      <c r="J977">
        <v>1</v>
      </c>
      <c r="K977" t="s">
        <v>171</v>
      </c>
      <c r="L977">
        <v>1</v>
      </c>
      <c r="M977" t="s">
        <v>242</v>
      </c>
      <c r="N977">
        <v>1428</v>
      </c>
    </row>
    <row r="978" spans="1:14">
      <c r="A978">
        <v>98</v>
      </c>
      <c r="B978">
        <v>46213</v>
      </c>
      <c r="C978" t="s">
        <v>24</v>
      </c>
      <c r="D978" t="s">
        <v>57</v>
      </c>
      <c r="E978">
        <v>2</v>
      </c>
      <c r="F978">
        <v>46204</v>
      </c>
      <c r="G978" t="s">
        <v>57</v>
      </c>
      <c r="H978" t="s">
        <v>61</v>
      </c>
      <c r="I978">
        <v>3</v>
      </c>
      <c r="J978">
        <v>2</v>
      </c>
      <c r="K978" t="s">
        <v>171</v>
      </c>
      <c r="L978">
        <v>1</v>
      </c>
      <c r="M978" t="s">
        <v>242</v>
      </c>
      <c r="N978">
        <v>1415</v>
      </c>
    </row>
    <row r="979" spans="1:14">
      <c r="A979">
        <v>98</v>
      </c>
      <c r="B979">
        <v>46213</v>
      </c>
      <c r="C979" t="s">
        <v>24</v>
      </c>
      <c r="D979" t="s">
        <v>57</v>
      </c>
      <c r="E979">
        <v>3</v>
      </c>
      <c r="F979">
        <v>46199</v>
      </c>
      <c r="G979" t="s">
        <v>57</v>
      </c>
      <c r="H979" t="s">
        <v>56</v>
      </c>
      <c r="I979">
        <v>5</v>
      </c>
      <c r="J979">
        <v>1</v>
      </c>
      <c r="K979" t="s">
        <v>171</v>
      </c>
      <c r="L979">
        <v>1</v>
      </c>
      <c r="M979" t="s">
        <v>242</v>
      </c>
      <c r="N979">
        <v>1396</v>
      </c>
    </row>
    <row r="980" spans="1:14">
      <c r="A980">
        <v>98</v>
      </c>
      <c r="B980">
        <v>46213</v>
      </c>
      <c r="C980" t="s">
        <v>24</v>
      </c>
      <c r="D980" t="s">
        <v>57</v>
      </c>
      <c r="E980">
        <v>4</v>
      </c>
      <c r="F980">
        <v>46194</v>
      </c>
      <c r="G980" t="s">
        <v>57</v>
      </c>
      <c r="H980" t="s">
        <v>221</v>
      </c>
      <c r="I980">
        <v>0</v>
      </c>
      <c r="J980">
        <v>0</v>
      </c>
      <c r="K980" t="s">
        <v>27</v>
      </c>
      <c r="L980">
        <v>0</v>
      </c>
      <c r="M980" t="s">
        <v>242</v>
      </c>
      <c r="N980">
        <v>1371</v>
      </c>
    </row>
    <row r="981" spans="1:14">
      <c r="A981">
        <v>98</v>
      </c>
      <c r="B981">
        <v>46213</v>
      </c>
      <c r="C981" t="s">
        <v>24</v>
      </c>
      <c r="D981" t="s">
        <v>57</v>
      </c>
      <c r="E981">
        <v>5</v>
      </c>
      <c r="F981">
        <v>46188</v>
      </c>
      <c r="G981" t="s">
        <v>57</v>
      </c>
      <c r="H981" t="s">
        <v>58</v>
      </c>
      <c r="I981">
        <v>1</v>
      </c>
      <c r="J981">
        <v>1</v>
      </c>
      <c r="K981" t="s">
        <v>27</v>
      </c>
      <c r="L981">
        <v>0</v>
      </c>
      <c r="M981" t="s">
        <v>242</v>
      </c>
      <c r="N981">
        <v>1347</v>
      </c>
    </row>
    <row r="982" spans="1:14">
      <c r="A982">
        <v>99</v>
      </c>
      <c r="B982">
        <v>46214</v>
      </c>
      <c r="C982" t="s">
        <v>19</v>
      </c>
      <c r="D982" t="s">
        <v>63</v>
      </c>
      <c r="E982">
        <v>1</v>
      </c>
      <c r="F982">
        <v>46208</v>
      </c>
      <c r="G982" t="s">
        <v>63</v>
      </c>
      <c r="H982" t="s">
        <v>35</v>
      </c>
      <c r="I982">
        <v>2</v>
      </c>
      <c r="J982">
        <v>1</v>
      </c>
      <c r="K982" t="s">
        <v>171</v>
      </c>
      <c r="L982">
        <v>1</v>
      </c>
      <c r="M982" t="s">
        <v>242</v>
      </c>
      <c r="N982">
        <v>1425</v>
      </c>
    </row>
    <row r="983" spans="1:14">
      <c r="A983">
        <v>99</v>
      </c>
      <c r="B983">
        <v>46214</v>
      </c>
      <c r="C983" t="s">
        <v>19</v>
      </c>
      <c r="D983" t="s">
        <v>63</v>
      </c>
      <c r="E983">
        <v>2</v>
      </c>
      <c r="F983">
        <v>46203</v>
      </c>
      <c r="G983" t="s">
        <v>63</v>
      </c>
      <c r="H983" t="s">
        <v>180</v>
      </c>
      <c r="I983">
        <v>2</v>
      </c>
      <c r="J983">
        <v>1</v>
      </c>
      <c r="K983" t="s">
        <v>171</v>
      </c>
      <c r="L983">
        <v>1</v>
      </c>
      <c r="M983" t="s">
        <v>242</v>
      </c>
      <c r="N983">
        <v>1411</v>
      </c>
    </row>
    <row r="984" spans="1:14">
      <c r="A984">
        <v>99</v>
      </c>
      <c r="B984">
        <v>46214</v>
      </c>
      <c r="C984" t="s">
        <v>19</v>
      </c>
      <c r="D984" t="s">
        <v>63</v>
      </c>
      <c r="E984">
        <v>3</v>
      </c>
      <c r="F984">
        <v>46199</v>
      </c>
      <c r="G984" t="s">
        <v>63</v>
      </c>
      <c r="H984" t="s">
        <v>60</v>
      </c>
      <c r="I984">
        <v>1</v>
      </c>
      <c r="J984">
        <v>4</v>
      </c>
      <c r="K984" t="s">
        <v>69</v>
      </c>
      <c r="L984">
        <v>0</v>
      </c>
      <c r="M984" t="s">
        <v>242</v>
      </c>
      <c r="N984">
        <v>1399</v>
      </c>
    </row>
    <row r="985" spans="1:14">
      <c r="A985">
        <v>99</v>
      </c>
      <c r="B985">
        <v>46214</v>
      </c>
      <c r="C985" t="s">
        <v>19</v>
      </c>
      <c r="D985" t="s">
        <v>63</v>
      </c>
      <c r="E985">
        <v>4</v>
      </c>
      <c r="F985">
        <v>46195</v>
      </c>
      <c r="G985" t="s">
        <v>63</v>
      </c>
      <c r="H985" t="s">
        <v>61</v>
      </c>
      <c r="I985">
        <v>3</v>
      </c>
      <c r="J985">
        <v>2</v>
      </c>
      <c r="K985" t="s">
        <v>171</v>
      </c>
      <c r="L985">
        <v>1</v>
      </c>
      <c r="M985" t="s">
        <v>242</v>
      </c>
      <c r="N985">
        <v>1376</v>
      </c>
    </row>
    <row r="986" spans="1:14">
      <c r="A986">
        <v>99</v>
      </c>
      <c r="B986">
        <v>46214</v>
      </c>
      <c r="C986" t="s">
        <v>19</v>
      </c>
      <c r="D986" t="s">
        <v>63</v>
      </c>
      <c r="E986">
        <v>5</v>
      </c>
      <c r="F986">
        <v>46189</v>
      </c>
      <c r="G986" t="s">
        <v>63</v>
      </c>
      <c r="H986" t="s">
        <v>62</v>
      </c>
      <c r="I986">
        <v>4</v>
      </c>
      <c r="J986">
        <v>1</v>
      </c>
      <c r="K986" t="s">
        <v>171</v>
      </c>
      <c r="L986">
        <v>1</v>
      </c>
      <c r="M986" t="s">
        <v>242</v>
      </c>
      <c r="N986">
        <v>1352</v>
      </c>
    </row>
    <row r="987" spans="1:14">
      <c r="A987">
        <v>99</v>
      </c>
      <c r="B987">
        <v>46214</v>
      </c>
      <c r="C987" t="s">
        <v>24</v>
      </c>
      <c r="D987" t="s">
        <v>72</v>
      </c>
      <c r="E987">
        <v>1</v>
      </c>
      <c r="F987">
        <v>46208</v>
      </c>
      <c r="G987" t="s">
        <v>72</v>
      </c>
      <c r="H987" t="s">
        <v>20</v>
      </c>
      <c r="I987">
        <v>3</v>
      </c>
      <c r="J987">
        <v>2</v>
      </c>
      <c r="K987" t="s">
        <v>171</v>
      </c>
      <c r="L987">
        <v>1</v>
      </c>
      <c r="M987" t="s">
        <v>242</v>
      </c>
      <c r="N987">
        <v>1426</v>
      </c>
    </row>
    <row r="988" spans="1:14">
      <c r="A988">
        <v>99</v>
      </c>
      <c r="B988">
        <v>46214</v>
      </c>
      <c r="C988" t="s">
        <v>24</v>
      </c>
      <c r="D988" t="s">
        <v>72</v>
      </c>
      <c r="E988">
        <v>2</v>
      </c>
      <c r="F988">
        <v>46204</v>
      </c>
      <c r="G988" t="s">
        <v>72</v>
      </c>
      <c r="H988" t="s">
        <v>240</v>
      </c>
      <c r="I988">
        <v>2</v>
      </c>
      <c r="J988">
        <v>1</v>
      </c>
      <c r="K988" t="s">
        <v>171</v>
      </c>
      <c r="L988">
        <v>1</v>
      </c>
      <c r="M988" t="s">
        <v>242</v>
      </c>
      <c r="N988">
        <v>1414</v>
      </c>
    </row>
    <row r="989" spans="1:14">
      <c r="A989">
        <v>99</v>
      </c>
      <c r="B989">
        <v>46214</v>
      </c>
      <c r="C989" t="s">
        <v>24</v>
      </c>
      <c r="D989" t="s">
        <v>72</v>
      </c>
      <c r="E989">
        <v>3</v>
      </c>
      <c r="F989">
        <v>46200</v>
      </c>
      <c r="G989" t="s">
        <v>72</v>
      </c>
      <c r="H989" t="s">
        <v>71</v>
      </c>
      <c r="I989">
        <v>2</v>
      </c>
      <c r="J989">
        <v>0</v>
      </c>
      <c r="K989" t="s">
        <v>171</v>
      </c>
      <c r="L989">
        <v>1</v>
      </c>
      <c r="M989" t="s">
        <v>242</v>
      </c>
      <c r="N989">
        <v>1405</v>
      </c>
    </row>
    <row r="990" spans="1:14">
      <c r="A990">
        <v>99</v>
      </c>
      <c r="B990">
        <v>46214</v>
      </c>
      <c r="C990" t="s">
        <v>24</v>
      </c>
      <c r="D990" t="s">
        <v>72</v>
      </c>
      <c r="E990">
        <v>4</v>
      </c>
      <c r="F990">
        <v>46196</v>
      </c>
      <c r="G990" t="s">
        <v>72</v>
      </c>
      <c r="H990" t="s">
        <v>70</v>
      </c>
      <c r="I990">
        <v>0</v>
      </c>
      <c r="J990">
        <v>0</v>
      </c>
      <c r="K990" t="s">
        <v>27</v>
      </c>
      <c r="L990">
        <v>0</v>
      </c>
      <c r="M990" t="s">
        <v>242</v>
      </c>
      <c r="N990">
        <v>1381</v>
      </c>
    </row>
    <row r="991" spans="1:14">
      <c r="A991">
        <v>99</v>
      </c>
      <c r="B991">
        <v>46214</v>
      </c>
      <c r="C991" t="s">
        <v>24</v>
      </c>
      <c r="D991" t="s">
        <v>72</v>
      </c>
      <c r="E991">
        <v>5</v>
      </c>
      <c r="F991">
        <v>46190</v>
      </c>
      <c r="G991" t="s">
        <v>72</v>
      </c>
      <c r="H991" t="s">
        <v>73</v>
      </c>
      <c r="I991">
        <v>4</v>
      </c>
      <c r="J991">
        <v>2</v>
      </c>
      <c r="K991" t="s">
        <v>171</v>
      </c>
      <c r="L991">
        <v>1</v>
      </c>
      <c r="M991" t="s">
        <v>242</v>
      </c>
      <c r="N991">
        <v>1357</v>
      </c>
    </row>
    <row r="992" spans="1:14">
      <c r="A992">
        <v>100</v>
      </c>
      <c r="B992">
        <v>46214</v>
      </c>
      <c r="C992" t="s">
        <v>19</v>
      </c>
      <c r="D992" t="s">
        <v>65</v>
      </c>
      <c r="E992">
        <v>1</v>
      </c>
      <c r="F992">
        <v>46210</v>
      </c>
      <c r="G992" t="s">
        <v>65</v>
      </c>
      <c r="H992" t="s">
        <v>58</v>
      </c>
      <c r="I992">
        <v>3</v>
      </c>
      <c r="J992">
        <v>2</v>
      </c>
      <c r="K992" t="s">
        <v>171</v>
      </c>
      <c r="L992">
        <v>1</v>
      </c>
      <c r="M992" t="s">
        <v>242</v>
      </c>
      <c r="N992">
        <v>1429</v>
      </c>
    </row>
    <row r="993" spans="1:14">
      <c r="A993">
        <v>100</v>
      </c>
      <c r="B993">
        <v>46214</v>
      </c>
      <c r="C993" t="s">
        <v>19</v>
      </c>
      <c r="D993" t="s">
        <v>65</v>
      </c>
      <c r="E993">
        <v>2</v>
      </c>
      <c r="F993">
        <v>46206</v>
      </c>
      <c r="G993" t="s">
        <v>65</v>
      </c>
      <c r="H993" t="s">
        <v>217</v>
      </c>
      <c r="I993">
        <v>3</v>
      </c>
      <c r="J993">
        <v>2</v>
      </c>
      <c r="K993" t="s">
        <v>171</v>
      </c>
      <c r="L993">
        <v>1</v>
      </c>
      <c r="M993" t="s">
        <v>242</v>
      </c>
      <c r="N993">
        <v>1421</v>
      </c>
    </row>
    <row r="994" spans="1:14">
      <c r="A994">
        <v>100</v>
      </c>
      <c r="B994">
        <v>46214</v>
      </c>
      <c r="C994" t="s">
        <v>19</v>
      </c>
      <c r="D994" t="s">
        <v>65</v>
      </c>
      <c r="E994">
        <v>3</v>
      </c>
      <c r="F994">
        <v>46200</v>
      </c>
      <c r="G994" t="s">
        <v>65</v>
      </c>
      <c r="H994" t="s">
        <v>68</v>
      </c>
      <c r="I994">
        <v>3</v>
      </c>
      <c r="J994">
        <v>1</v>
      </c>
      <c r="K994" t="s">
        <v>171</v>
      </c>
      <c r="L994">
        <v>1</v>
      </c>
      <c r="M994" t="s">
        <v>242</v>
      </c>
      <c r="N994">
        <v>1402</v>
      </c>
    </row>
    <row r="995" spans="1:14">
      <c r="A995">
        <v>100</v>
      </c>
      <c r="B995">
        <v>46214</v>
      </c>
      <c r="C995" t="s">
        <v>19</v>
      </c>
      <c r="D995" t="s">
        <v>65</v>
      </c>
      <c r="E995">
        <v>4</v>
      </c>
      <c r="F995">
        <v>46195</v>
      </c>
      <c r="G995" t="s">
        <v>65</v>
      </c>
      <c r="H995" t="s">
        <v>67</v>
      </c>
      <c r="I995">
        <v>2</v>
      </c>
      <c r="J995">
        <v>0</v>
      </c>
      <c r="K995" t="s">
        <v>171</v>
      </c>
      <c r="L995">
        <v>1</v>
      </c>
      <c r="M995" t="s">
        <v>242</v>
      </c>
      <c r="N995">
        <v>1377</v>
      </c>
    </row>
    <row r="996" spans="1:14">
      <c r="A996">
        <v>100</v>
      </c>
      <c r="B996">
        <v>46214</v>
      </c>
      <c r="C996" t="s">
        <v>19</v>
      </c>
      <c r="D996" t="s">
        <v>65</v>
      </c>
      <c r="E996">
        <v>5</v>
      </c>
      <c r="F996">
        <v>46189</v>
      </c>
      <c r="G996" t="s">
        <v>65</v>
      </c>
      <c r="H996" t="s">
        <v>66</v>
      </c>
      <c r="I996">
        <v>3</v>
      </c>
      <c r="J996">
        <v>0</v>
      </c>
      <c r="K996" t="s">
        <v>171</v>
      </c>
      <c r="L996">
        <v>1</v>
      </c>
      <c r="M996" t="s">
        <v>242</v>
      </c>
      <c r="N996">
        <v>1353</v>
      </c>
    </row>
    <row r="997" spans="1:14">
      <c r="A997">
        <v>100</v>
      </c>
      <c r="B997">
        <v>46214</v>
      </c>
      <c r="C997" t="s">
        <v>24</v>
      </c>
      <c r="D997" t="s">
        <v>38</v>
      </c>
      <c r="E997">
        <v>1</v>
      </c>
      <c r="F997">
        <v>46210</v>
      </c>
      <c r="G997" t="s">
        <v>38</v>
      </c>
      <c r="H997" t="s">
        <v>78</v>
      </c>
      <c r="I997">
        <v>0</v>
      </c>
      <c r="J997">
        <v>0</v>
      </c>
      <c r="K997" t="s">
        <v>27</v>
      </c>
      <c r="L997">
        <v>0</v>
      </c>
      <c r="M997" t="s">
        <v>242</v>
      </c>
      <c r="N997">
        <v>1430</v>
      </c>
    </row>
    <row r="998" spans="1:14">
      <c r="A998">
        <v>100</v>
      </c>
      <c r="B998">
        <v>46214</v>
      </c>
      <c r="C998" t="s">
        <v>24</v>
      </c>
      <c r="D998" t="s">
        <v>38</v>
      </c>
      <c r="E998">
        <v>2</v>
      </c>
      <c r="F998">
        <v>46205</v>
      </c>
      <c r="G998" t="s">
        <v>38</v>
      </c>
      <c r="H998" t="s">
        <v>66</v>
      </c>
      <c r="I998">
        <v>2</v>
      </c>
      <c r="J998">
        <v>0</v>
      </c>
      <c r="K998" t="s">
        <v>171</v>
      </c>
      <c r="L998">
        <v>1</v>
      </c>
      <c r="M998" t="s">
        <v>242</v>
      </c>
      <c r="N998">
        <v>1419</v>
      </c>
    </row>
    <row r="999" spans="1:14">
      <c r="A999">
        <v>100</v>
      </c>
      <c r="B999">
        <v>46214</v>
      </c>
      <c r="C999" t="s">
        <v>24</v>
      </c>
      <c r="D999" t="s">
        <v>38</v>
      </c>
      <c r="E999">
        <v>3</v>
      </c>
      <c r="F999">
        <v>46197</v>
      </c>
      <c r="G999" t="s">
        <v>38</v>
      </c>
      <c r="H999" t="s">
        <v>25</v>
      </c>
      <c r="I999">
        <v>2</v>
      </c>
      <c r="J999">
        <v>1</v>
      </c>
      <c r="K999" t="s">
        <v>171</v>
      </c>
      <c r="L999">
        <v>1</v>
      </c>
      <c r="M999" t="s">
        <v>242</v>
      </c>
      <c r="N999">
        <v>1385</v>
      </c>
    </row>
    <row r="1000" spans="1:14">
      <c r="A1000">
        <v>100</v>
      </c>
      <c r="B1000">
        <v>46214</v>
      </c>
      <c r="C1000" t="s">
        <v>24</v>
      </c>
      <c r="D1000" t="s">
        <v>38</v>
      </c>
      <c r="E1000">
        <v>4</v>
      </c>
      <c r="F1000">
        <v>46191</v>
      </c>
      <c r="G1000" t="s">
        <v>38</v>
      </c>
      <c r="H1000" t="s">
        <v>26</v>
      </c>
      <c r="I1000">
        <v>4</v>
      </c>
      <c r="J1000">
        <v>1</v>
      </c>
      <c r="K1000" t="s">
        <v>171</v>
      </c>
      <c r="L1000">
        <v>1</v>
      </c>
      <c r="M1000" t="s">
        <v>242</v>
      </c>
      <c r="N1000">
        <v>1361</v>
      </c>
    </row>
    <row r="1001" spans="1:14">
      <c r="A1001">
        <v>100</v>
      </c>
      <c r="B1001">
        <v>46214</v>
      </c>
      <c r="C1001" t="s">
        <v>24</v>
      </c>
      <c r="D1001" t="s">
        <v>38</v>
      </c>
      <c r="E1001">
        <v>5</v>
      </c>
      <c r="F1001">
        <v>46186</v>
      </c>
      <c r="G1001" t="s">
        <v>38</v>
      </c>
      <c r="H1001" t="s">
        <v>37</v>
      </c>
      <c r="I1001">
        <v>1</v>
      </c>
      <c r="J1001">
        <v>1</v>
      </c>
      <c r="K1001" t="s">
        <v>27</v>
      </c>
      <c r="L1001">
        <v>0</v>
      </c>
      <c r="M1001" t="s">
        <v>242</v>
      </c>
      <c r="N1001">
        <v>1339</v>
      </c>
    </row>
    <row r="1002" spans="1:14">
      <c r="A1002">
        <v>101</v>
      </c>
      <c r="B1002">
        <v>46217</v>
      </c>
      <c r="C1002" t="s">
        <v>19</v>
      </c>
      <c r="D1002" t="s">
        <v>60</v>
      </c>
      <c r="E1002">
        <v>1</v>
      </c>
      <c r="F1002">
        <v>46212</v>
      </c>
      <c r="G1002" t="s">
        <v>60</v>
      </c>
      <c r="H1002" t="s">
        <v>36</v>
      </c>
      <c r="I1002">
        <v>2</v>
      </c>
      <c r="J1002">
        <v>0</v>
      </c>
      <c r="K1002" t="s">
        <v>171</v>
      </c>
      <c r="L1002">
        <v>1</v>
      </c>
      <c r="M1002" t="s">
        <v>242</v>
      </c>
      <c r="N1002">
        <v>1431</v>
      </c>
    </row>
    <row r="1003" spans="1:14">
      <c r="A1003">
        <v>101</v>
      </c>
      <c r="B1003">
        <v>46217</v>
      </c>
      <c r="C1003" t="s">
        <v>19</v>
      </c>
      <c r="D1003" t="s">
        <v>60</v>
      </c>
      <c r="E1003">
        <v>2</v>
      </c>
      <c r="F1003">
        <v>46207</v>
      </c>
      <c r="G1003" t="s">
        <v>60</v>
      </c>
      <c r="H1003" t="s">
        <v>29</v>
      </c>
      <c r="I1003">
        <v>1</v>
      </c>
      <c r="J1003">
        <v>0</v>
      </c>
      <c r="K1003" t="s">
        <v>171</v>
      </c>
      <c r="L1003">
        <v>1</v>
      </c>
      <c r="M1003" t="s">
        <v>242</v>
      </c>
      <c r="N1003">
        <v>1424</v>
      </c>
    </row>
    <row r="1004" spans="1:14">
      <c r="A1004">
        <v>101</v>
      </c>
      <c r="B1004">
        <v>46217</v>
      </c>
      <c r="C1004" t="s">
        <v>19</v>
      </c>
      <c r="D1004" t="s">
        <v>60</v>
      </c>
      <c r="E1004">
        <v>3</v>
      </c>
      <c r="F1004">
        <v>46203</v>
      </c>
      <c r="G1004" t="s">
        <v>60</v>
      </c>
      <c r="H1004" t="s">
        <v>47</v>
      </c>
      <c r="I1004">
        <v>3</v>
      </c>
      <c r="J1004">
        <v>0</v>
      </c>
      <c r="K1004" t="s">
        <v>171</v>
      </c>
      <c r="L1004">
        <v>1</v>
      </c>
      <c r="M1004" t="s">
        <v>242</v>
      </c>
      <c r="N1004">
        <v>1412</v>
      </c>
    </row>
    <row r="1005" spans="1:14">
      <c r="A1005">
        <v>101</v>
      </c>
      <c r="B1005">
        <v>46217</v>
      </c>
      <c r="C1005" t="s">
        <v>19</v>
      </c>
      <c r="D1005" t="s">
        <v>60</v>
      </c>
      <c r="E1005">
        <v>4</v>
      </c>
      <c r="F1005">
        <v>46199</v>
      </c>
      <c r="G1005" t="s">
        <v>60</v>
      </c>
      <c r="H1005" t="s">
        <v>63</v>
      </c>
      <c r="I1005">
        <v>4</v>
      </c>
      <c r="J1005">
        <v>1</v>
      </c>
      <c r="K1005" t="s">
        <v>171</v>
      </c>
      <c r="L1005">
        <v>1</v>
      </c>
      <c r="M1005" t="s">
        <v>242</v>
      </c>
      <c r="N1005">
        <v>1399</v>
      </c>
    </row>
    <row r="1006" spans="1:14">
      <c r="A1006">
        <v>101</v>
      </c>
      <c r="B1006">
        <v>46217</v>
      </c>
      <c r="C1006" t="s">
        <v>19</v>
      </c>
      <c r="D1006" t="s">
        <v>60</v>
      </c>
      <c r="E1006">
        <v>5</v>
      </c>
      <c r="F1006">
        <v>46195</v>
      </c>
      <c r="G1006" t="s">
        <v>60</v>
      </c>
      <c r="H1006" t="s">
        <v>62</v>
      </c>
      <c r="I1006">
        <v>3</v>
      </c>
      <c r="J1006">
        <v>0</v>
      </c>
      <c r="K1006" t="s">
        <v>171</v>
      </c>
      <c r="L1006">
        <v>1</v>
      </c>
      <c r="M1006" t="s">
        <v>242</v>
      </c>
      <c r="N1006">
        <v>1375</v>
      </c>
    </row>
    <row r="1007" spans="1:14">
      <c r="A1007">
        <v>101</v>
      </c>
      <c r="B1007">
        <v>46217</v>
      </c>
      <c r="C1007" t="s">
        <v>24</v>
      </c>
      <c r="D1007" t="s">
        <v>52</v>
      </c>
      <c r="E1007">
        <v>1</v>
      </c>
      <c r="F1007">
        <v>46213</v>
      </c>
      <c r="G1007" t="s">
        <v>52</v>
      </c>
      <c r="H1007" t="s">
        <v>57</v>
      </c>
      <c r="I1007">
        <v>2</v>
      </c>
      <c r="J1007">
        <v>1</v>
      </c>
      <c r="K1007" t="s">
        <v>171</v>
      </c>
      <c r="L1007">
        <v>1</v>
      </c>
      <c r="M1007" t="s">
        <v>242</v>
      </c>
      <c r="N1007">
        <v>1432</v>
      </c>
    </row>
    <row r="1008" spans="1:14">
      <c r="A1008">
        <v>101</v>
      </c>
      <c r="B1008">
        <v>46217</v>
      </c>
      <c r="C1008" t="s">
        <v>24</v>
      </c>
      <c r="D1008" t="s">
        <v>52</v>
      </c>
      <c r="E1008">
        <v>2</v>
      </c>
      <c r="F1008">
        <v>46209</v>
      </c>
      <c r="G1008" t="s">
        <v>52</v>
      </c>
      <c r="H1008" t="s">
        <v>75</v>
      </c>
      <c r="I1008">
        <v>1</v>
      </c>
      <c r="J1008">
        <v>0</v>
      </c>
      <c r="K1008" t="s">
        <v>171</v>
      </c>
      <c r="L1008">
        <v>1</v>
      </c>
      <c r="M1008" t="s">
        <v>242</v>
      </c>
      <c r="N1008">
        <v>1427</v>
      </c>
    </row>
    <row r="1009" spans="1:14">
      <c r="A1009">
        <v>101</v>
      </c>
      <c r="B1009">
        <v>46217</v>
      </c>
      <c r="C1009" t="s">
        <v>24</v>
      </c>
      <c r="D1009" t="s">
        <v>52</v>
      </c>
      <c r="E1009">
        <v>3</v>
      </c>
      <c r="F1009">
        <v>46205</v>
      </c>
      <c r="G1009" t="s">
        <v>52</v>
      </c>
      <c r="H1009" t="s">
        <v>67</v>
      </c>
      <c r="I1009">
        <v>3</v>
      </c>
      <c r="J1009">
        <v>0</v>
      </c>
      <c r="K1009" t="s">
        <v>171</v>
      </c>
      <c r="L1009">
        <v>1</v>
      </c>
      <c r="M1009" t="s">
        <v>242</v>
      </c>
      <c r="N1009">
        <v>1417</v>
      </c>
    </row>
    <row r="1010" spans="1:14">
      <c r="A1010">
        <v>101</v>
      </c>
      <c r="B1010">
        <v>46217</v>
      </c>
      <c r="C1010" t="s">
        <v>24</v>
      </c>
      <c r="D1010" t="s">
        <v>52</v>
      </c>
      <c r="E1010">
        <v>4</v>
      </c>
      <c r="F1010">
        <v>46199</v>
      </c>
      <c r="G1010" t="s">
        <v>52</v>
      </c>
      <c r="H1010" t="s">
        <v>51</v>
      </c>
      <c r="I1010">
        <v>1</v>
      </c>
      <c r="J1010">
        <v>0</v>
      </c>
      <c r="K1010" t="s">
        <v>171</v>
      </c>
      <c r="L1010">
        <v>1</v>
      </c>
      <c r="M1010" t="s">
        <v>242</v>
      </c>
      <c r="N1010">
        <v>1398</v>
      </c>
    </row>
    <row r="1011" spans="1:14">
      <c r="A1011">
        <v>101</v>
      </c>
      <c r="B1011">
        <v>46217</v>
      </c>
      <c r="C1011" t="s">
        <v>24</v>
      </c>
      <c r="D1011" t="s">
        <v>52</v>
      </c>
      <c r="E1011">
        <v>5</v>
      </c>
      <c r="F1011">
        <v>46194</v>
      </c>
      <c r="G1011" t="s">
        <v>52</v>
      </c>
      <c r="H1011" t="s">
        <v>50</v>
      </c>
      <c r="I1011">
        <v>4</v>
      </c>
      <c r="J1011">
        <v>0</v>
      </c>
      <c r="K1011" t="s">
        <v>171</v>
      </c>
      <c r="L1011">
        <v>1</v>
      </c>
      <c r="M1011" t="s">
        <v>242</v>
      </c>
      <c r="N1011">
        <v>1373</v>
      </c>
    </row>
    <row r="1012" spans="1:14">
      <c r="A1012">
        <v>102</v>
      </c>
      <c r="B1012">
        <v>46218</v>
      </c>
      <c r="C1012" t="s">
        <v>19</v>
      </c>
      <c r="D1012" t="s">
        <v>72</v>
      </c>
      <c r="E1012">
        <v>1</v>
      </c>
      <c r="F1012">
        <v>46214</v>
      </c>
      <c r="G1012" t="s">
        <v>72</v>
      </c>
      <c r="H1012" t="s">
        <v>63</v>
      </c>
      <c r="I1012">
        <v>2</v>
      </c>
      <c r="J1012">
        <v>1</v>
      </c>
      <c r="K1012" t="s">
        <v>171</v>
      </c>
      <c r="L1012">
        <v>1</v>
      </c>
      <c r="M1012" t="s">
        <v>242</v>
      </c>
      <c r="N1012">
        <v>1433</v>
      </c>
    </row>
    <row r="1013" spans="1:14">
      <c r="A1013">
        <v>102</v>
      </c>
      <c r="B1013">
        <v>46218</v>
      </c>
      <c r="C1013" t="s">
        <v>19</v>
      </c>
      <c r="D1013" t="s">
        <v>72</v>
      </c>
      <c r="E1013">
        <v>2</v>
      </c>
      <c r="F1013">
        <v>46208</v>
      </c>
      <c r="G1013" t="s">
        <v>72</v>
      </c>
      <c r="H1013" t="s">
        <v>20</v>
      </c>
      <c r="I1013">
        <v>3</v>
      </c>
      <c r="J1013">
        <v>2</v>
      </c>
      <c r="K1013" t="s">
        <v>171</v>
      </c>
      <c r="L1013">
        <v>1</v>
      </c>
      <c r="M1013" t="s">
        <v>242</v>
      </c>
      <c r="N1013">
        <v>1426</v>
      </c>
    </row>
    <row r="1014" spans="1:14">
      <c r="A1014">
        <v>102</v>
      </c>
      <c r="B1014">
        <v>46218</v>
      </c>
      <c r="C1014" t="s">
        <v>19</v>
      </c>
      <c r="D1014" t="s">
        <v>72</v>
      </c>
      <c r="E1014">
        <v>3</v>
      </c>
      <c r="F1014">
        <v>46204</v>
      </c>
      <c r="G1014" t="s">
        <v>72</v>
      </c>
      <c r="H1014" t="s">
        <v>240</v>
      </c>
      <c r="I1014">
        <v>2</v>
      </c>
      <c r="J1014">
        <v>1</v>
      </c>
      <c r="K1014" t="s">
        <v>171</v>
      </c>
      <c r="L1014">
        <v>1</v>
      </c>
      <c r="M1014" t="s">
        <v>242</v>
      </c>
      <c r="N1014">
        <v>1414</v>
      </c>
    </row>
    <row r="1015" spans="1:14">
      <c r="A1015">
        <v>102</v>
      </c>
      <c r="B1015">
        <v>46218</v>
      </c>
      <c r="C1015" t="s">
        <v>19</v>
      </c>
      <c r="D1015" t="s">
        <v>72</v>
      </c>
      <c r="E1015">
        <v>4</v>
      </c>
      <c r="F1015">
        <v>46200</v>
      </c>
      <c r="G1015" t="s">
        <v>72</v>
      </c>
      <c r="H1015" t="s">
        <v>71</v>
      </c>
      <c r="I1015">
        <v>2</v>
      </c>
      <c r="J1015">
        <v>0</v>
      </c>
      <c r="K1015" t="s">
        <v>171</v>
      </c>
      <c r="L1015">
        <v>1</v>
      </c>
      <c r="M1015" t="s">
        <v>242</v>
      </c>
      <c r="N1015">
        <v>1405</v>
      </c>
    </row>
    <row r="1016" spans="1:14">
      <c r="A1016">
        <v>102</v>
      </c>
      <c r="B1016">
        <v>46218</v>
      </c>
      <c r="C1016" t="s">
        <v>19</v>
      </c>
      <c r="D1016" t="s">
        <v>72</v>
      </c>
      <c r="E1016">
        <v>5</v>
      </c>
      <c r="F1016">
        <v>46196</v>
      </c>
      <c r="G1016" t="s">
        <v>72</v>
      </c>
      <c r="H1016" t="s">
        <v>70</v>
      </c>
      <c r="I1016">
        <v>0</v>
      </c>
      <c r="J1016">
        <v>0</v>
      </c>
      <c r="K1016" t="s">
        <v>27</v>
      </c>
      <c r="L1016">
        <v>0</v>
      </c>
      <c r="M1016" t="s">
        <v>242</v>
      </c>
      <c r="N1016">
        <v>1381</v>
      </c>
    </row>
    <row r="1017" spans="1:14">
      <c r="A1017">
        <v>102</v>
      </c>
      <c r="B1017">
        <v>46218</v>
      </c>
      <c r="C1017" t="s">
        <v>24</v>
      </c>
      <c r="D1017" t="s">
        <v>65</v>
      </c>
      <c r="E1017">
        <v>1</v>
      </c>
      <c r="F1017">
        <v>46214</v>
      </c>
      <c r="G1017" t="s">
        <v>65</v>
      </c>
      <c r="H1017" t="s">
        <v>38</v>
      </c>
      <c r="I1017">
        <v>3</v>
      </c>
      <c r="J1017">
        <v>1</v>
      </c>
      <c r="K1017" t="s">
        <v>171</v>
      </c>
      <c r="L1017">
        <v>1</v>
      </c>
      <c r="M1017" t="s">
        <v>242</v>
      </c>
      <c r="N1017">
        <v>1434</v>
      </c>
    </row>
    <row r="1018" spans="1:14">
      <c r="A1018">
        <v>102</v>
      </c>
      <c r="B1018">
        <v>46218</v>
      </c>
      <c r="C1018" t="s">
        <v>24</v>
      </c>
      <c r="D1018" t="s">
        <v>65</v>
      </c>
      <c r="E1018">
        <v>2</v>
      </c>
      <c r="F1018">
        <v>46210</v>
      </c>
      <c r="G1018" t="s">
        <v>65</v>
      </c>
      <c r="H1018" t="s">
        <v>58</v>
      </c>
      <c r="I1018">
        <v>3</v>
      </c>
      <c r="J1018">
        <v>2</v>
      </c>
      <c r="K1018" t="s">
        <v>171</v>
      </c>
      <c r="L1018">
        <v>1</v>
      </c>
      <c r="M1018" t="s">
        <v>242</v>
      </c>
      <c r="N1018">
        <v>1429</v>
      </c>
    </row>
    <row r="1019" spans="1:14">
      <c r="A1019">
        <v>102</v>
      </c>
      <c r="B1019">
        <v>46218</v>
      </c>
      <c r="C1019" t="s">
        <v>24</v>
      </c>
      <c r="D1019" t="s">
        <v>65</v>
      </c>
      <c r="E1019">
        <v>3</v>
      </c>
      <c r="F1019">
        <v>46206</v>
      </c>
      <c r="G1019" t="s">
        <v>65</v>
      </c>
      <c r="H1019" t="s">
        <v>217</v>
      </c>
      <c r="I1019">
        <v>3</v>
      </c>
      <c r="J1019">
        <v>2</v>
      </c>
      <c r="K1019" t="s">
        <v>171</v>
      </c>
      <c r="L1019">
        <v>1</v>
      </c>
      <c r="M1019" t="s">
        <v>242</v>
      </c>
      <c r="N1019">
        <v>1421</v>
      </c>
    </row>
    <row r="1020" spans="1:14">
      <c r="A1020">
        <v>102</v>
      </c>
      <c r="B1020">
        <v>46218</v>
      </c>
      <c r="C1020" t="s">
        <v>24</v>
      </c>
      <c r="D1020" t="s">
        <v>65</v>
      </c>
      <c r="E1020">
        <v>4</v>
      </c>
      <c r="F1020">
        <v>46200</v>
      </c>
      <c r="G1020" t="s">
        <v>65</v>
      </c>
      <c r="H1020" t="s">
        <v>68</v>
      </c>
      <c r="I1020">
        <v>3</v>
      </c>
      <c r="J1020">
        <v>1</v>
      </c>
      <c r="K1020" t="s">
        <v>171</v>
      </c>
      <c r="L1020">
        <v>1</v>
      </c>
      <c r="M1020" t="s">
        <v>242</v>
      </c>
      <c r="N1020">
        <v>1402</v>
      </c>
    </row>
    <row r="1021" spans="1:14">
      <c r="A1021">
        <v>102</v>
      </c>
      <c r="B1021">
        <v>46218</v>
      </c>
      <c r="C1021" t="s">
        <v>24</v>
      </c>
      <c r="D1021" t="s">
        <v>65</v>
      </c>
      <c r="E1021">
        <v>5</v>
      </c>
      <c r="F1021">
        <v>46195</v>
      </c>
      <c r="G1021" t="s">
        <v>65</v>
      </c>
      <c r="H1021" t="s">
        <v>67</v>
      </c>
      <c r="I1021">
        <v>2</v>
      </c>
      <c r="J1021">
        <v>0</v>
      </c>
      <c r="K1021" t="s">
        <v>171</v>
      </c>
      <c r="L1021">
        <v>1</v>
      </c>
      <c r="M1021" t="s">
        <v>242</v>
      </c>
      <c r="N1021">
        <v>1377</v>
      </c>
    </row>
    <row r="1022" spans="1:14">
      <c r="A1022">
        <v>103</v>
      </c>
      <c r="B1022">
        <v>46221</v>
      </c>
      <c r="C1022" t="s">
        <v>19</v>
      </c>
      <c r="D1022" t="s">
        <v>60</v>
      </c>
      <c r="E1022">
        <v>1</v>
      </c>
      <c r="F1022">
        <v>46217</v>
      </c>
      <c r="G1022" t="s">
        <v>60</v>
      </c>
      <c r="H1022" t="s">
        <v>52</v>
      </c>
      <c r="I1022">
        <v>0</v>
      </c>
      <c r="J1022">
        <v>2</v>
      </c>
      <c r="K1022" t="s">
        <v>69</v>
      </c>
      <c r="L1022">
        <v>0</v>
      </c>
      <c r="M1022" t="s">
        <v>242</v>
      </c>
      <c r="N1022">
        <v>1435</v>
      </c>
    </row>
    <row r="1023" spans="1:14">
      <c r="A1023">
        <v>103</v>
      </c>
      <c r="B1023">
        <v>46221</v>
      </c>
      <c r="C1023" t="s">
        <v>19</v>
      </c>
      <c r="D1023" t="s">
        <v>60</v>
      </c>
      <c r="E1023">
        <v>2</v>
      </c>
      <c r="F1023">
        <v>46212</v>
      </c>
      <c r="G1023" t="s">
        <v>60</v>
      </c>
      <c r="H1023" t="s">
        <v>36</v>
      </c>
      <c r="I1023">
        <v>2</v>
      </c>
      <c r="J1023">
        <v>0</v>
      </c>
      <c r="K1023" t="s">
        <v>171</v>
      </c>
      <c r="L1023">
        <v>1</v>
      </c>
      <c r="M1023" t="s">
        <v>242</v>
      </c>
      <c r="N1023">
        <v>1431</v>
      </c>
    </row>
    <row r="1024" spans="1:14">
      <c r="A1024">
        <v>103</v>
      </c>
      <c r="B1024">
        <v>46221</v>
      </c>
      <c r="C1024" t="s">
        <v>19</v>
      </c>
      <c r="D1024" t="s">
        <v>60</v>
      </c>
      <c r="E1024">
        <v>3</v>
      </c>
      <c r="F1024">
        <v>46207</v>
      </c>
      <c r="G1024" t="s">
        <v>60</v>
      </c>
      <c r="H1024" t="s">
        <v>29</v>
      </c>
      <c r="I1024">
        <v>1</v>
      </c>
      <c r="J1024">
        <v>0</v>
      </c>
      <c r="K1024" t="s">
        <v>171</v>
      </c>
      <c r="L1024">
        <v>1</v>
      </c>
      <c r="M1024" t="s">
        <v>242</v>
      </c>
      <c r="N1024">
        <v>1424</v>
      </c>
    </row>
    <row r="1025" spans="1:14">
      <c r="A1025">
        <v>103</v>
      </c>
      <c r="B1025">
        <v>46221</v>
      </c>
      <c r="C1025" t="s">
        <v>19</v>
      </c>
      <c r="D1025" t="s">
        <v>60</v>
      </c>
      <c r="E1025">
        <v>4</v>
      </c>
      <c r="F1025">
        <v>46203</v>
      </c>
      <c r="G1025" t="s">
        <v>60</v>
      </c>
      <c r="H1025" t="s">
        <v>47</v>
      </c>
      <c r="I1025">
        <v>3</v>
      </c>
      <c r="J1025">
        <v>0</v>
      </c>
      <c r="K1025" t="s">
        <v>171</v>
      </c>
      <c r="L1025">
        <v>1</v>
      </c>
      <c r="M1025" t="s">
        <v>242</v>
      </c>
      <c r="N1025">
        <v>1412</v>
      </c>
    </row>
    <row r="1026" spans="1:14">
      <c r="A1026">
        <v>103</v>
      </c>
      <c r="B1026">
        <v>46221</v>
      </c>
      <c r="C1026" t="s">
        <v>19</v>
      </c>
      <c r="D1026" t="s">
        <v>60</v>
      </c>
      <c r="E1026">
        <v>5</v>
      </c>
      <c r="F1026">
        <v>46199</v>
      </c>
      <c r="G1026" t="s">
        <v>60</v>
      </c>
      <c r="H1026" t="s">
        <v>63</v>
      </c>
      <c r="I1026">
        <v>4</v>
      </c>
      <c r="J1026">
        <v>1</v>
      </c>
      <c r="K1026" t="s">
        <v>171</v>
      </c>
      <c r="L1026">
        <v>1</v>
      </c>
      <c r="M1026" t="s">
        <v>242</v>
      </c>
      <c r="N1026">
        <v>1399</v>
      </c>
    </row>
    <row r="1027" spans="1:14">
      <c r="A1027">
        <v>103</v>
      </c>
      <c r="B1027">
        <v>46221</v>
      </c>
      <c r="C1027" t="s">
        <v>24</v>
      </c>
      <c r="D1027" t="s">
        <v>72</v>
      </c>
      <c r="E1027">
        <v>1</v>
      </c>
      <c r="F1027">
        <v>46218</v>
      </c>
      <c r="G1027" t="s">
        <v>72</v>
      </c>
      <c r="H1027" t="s">
        <v>65</v>
      </c>
      <c r="I1027">
        <v>1</v>
      </c>
      <c r="J1027">
        <v>2</v>
      </c>
      <c r="K1027" t="s">
        <v>69</v>
      </c>
      <c r="L1027">
        <v>0</v>
      </c>
      <c r="M1027" t="s">
        <v>242</v>
      </c>
      <c r="N1027">
        <v>1436</v>
      </c>
    </row>
    <row r="1028" spans="1:14">
      <c r="A1028">
        <v>103</v>
      </c>
      <c r="B1028">
        <v>46221</v>
      </c>
      <c r="C1028" t="s">
        <v>24</v>
      </c>
      <c r="D1028" t="s">
        <v>72</v>
      </c>
      <c r="E1028">
        <v>2</v>
      </c>
      <c r="F1028">
        <v>46214</v>
      </c>
      <c r="G1028" t="s">
        <v>72</v>
      </c>
      <c r="H1028" t="s">
        <v>63</v>
      </c>
      <c r="I1028">
        <v>2</v>
      </c>
      <c r="J1028">
        <v>1</v>
      </c>
      <c r="K1028" t="s">
        <v>171</v>
      </c>
      <c r="L1028">
        <v>1</v>
      </c>
      <c r="M1028" t="s">
        <v>242</v>
      </c>
      <c r="N1028">
        <v>1433</v>
      </c>
    </row>
    <row r="1029" spans="1:14">
      <c r="A1029">
        <v>103</v>
      </c>
      <c r="B1029">
        <v>46221</v>
      </c>
      <c r="C1029" t="s">
        <v>24</v>
      </c>
      <c r="D1029" t="s">
        <v>72</v>
      </c>
      <c r="E1029">
        <v>3</v>
      </c>
      <c r="F1029">
        <v>46208</v>
      </c>
      <c r="G1029" t="s">
        <v>72</v>
      </c>
      <c r="H1029" t="s">
        <v>20</v>
      </c>
      <c r="I1029">
        <v>3</v>
      </c>
      <c r="J1029">
        <v>2</v>
      </c>
      <c r="K1029" t="s">
        <v>171</v>
      </c>
      <c r="L1029">
        <v>1</v>
      </c>
      <c r="M1029" t="s">
        <v>242</v>
      </c>
      <c r="N1029">
        <v>1426</v>
      </c>
    </row>
    <row r="1030" spans="1:14">
      <c r="A1030">
        <v>103</v>
      </c>
      <c r="B1030">
        <v>46221</v>
      </c>
      <c r="C1030" t="s">
        <v>24</v>
      </c>
      <c r="D1030" t="s">
        <v>72</v>
      </c>
      <c r="E1030">
        <v>4</v>
      </c>
      <c r="F1030">
        <v>46204</v>
      </c>
      <c r="G1030" t="s">
        <v>72</v>
      </c>
      <c r="H1030" t="s">
        <v>240</v>
      </c>
      <c r="I1030">
        <v>2</v>
      </c>
      <c r="J1030">
        <v>1</v>
      </c>
      <c r="K1030" t="s">
        <v>171</v>
      </c>
      <c r="L1030">
        <v>1</v>
      </c>
      <c r="M1030" t="s">
        <v>242</v>
      </c>
      <c r="N1030">
        <v>1414</v>
      </c>
    </row>
    <row r="1031" spans="1:14">
      <c r="A1031">
        <v>103</v>
      </c>
      <c r="B1031">
        <v>46221</v>
      </c>
      <c r="C1031" t="s">
        <v>24</v>
      </c>
      <c r="D1031" t="s">
        <v>72</v>
      </c>
      <c r="E1031">
        <v>5</v>
      </c>
      <c r="F1031">
        <v>46200</v>
      </c>
      <c r="G1031" t="s">
        <v>72</v>
      </c>
      <c r="H1031" t="s">
        <v>71</v>
      </c>
      <c r="I1031">
        <v>2</v>
      </c>
      <c r="J1031">
        <v>0</v>
      </c>
      <c r="K1031" t="s">
        <v>171</v>
      </c>
      <c r="L1031">
        <v>1</v>
      </c>
      <c r="M1031" t="s">
        <v>242</v>
      </c>
      <c r="N1031">
        <v>1405</v>
      </c>
    </row>
    <row r="1032" spans="1:14">
      <c r="A1032">
        <v>104</v>
      </c>
      <c r="B1032">
        <v>46222</v>
      </c>
      <c r="C1032" t="s">
        <v>19</v>
      </c>
      <c r="D1032" t="s">
        <v>52</v>
      </c>
      <c r="E1032">
        <v>1</v>
      </c>
      <c r="F1032">
        <v>46217</v>
      </c>
      <c r="G1032" t="s">
        <v>52</v>
      </c>
      <c r="H1032" t="s">
        <v>60</v>
      </c>
      <c r="I1032">
        <v>2</v>
      </c>
      <c r="J1032">
        <v>0</v>
      </c>
      <c r="K1032" t="s">
        <v>171</v>
      </c>
      <c r="L1032">
        <v>1</v>
      </c>
      <c r="M1032" t="s">
        <v>242</v>
      </c>
      <c r="N1032">
        <v>1435</v>
      </c>
    </row>
    <row r="1033" spans="1:14">
      <c r="A1033">
        <v>104</v>
      </c>
      <c r="B1033">
        <v>46222</v>
      </c>
      <c r="C1033" t="s">
        <v>19</v>
      </c>
      <c r="D1033" t="s">
        <v>52</v>
      </c>
      <c r="E1033">
        <v>2</v>
      </c>
      <c r="F1033">
        <v>46213</v>
      </c>
      <c r="G1033" t="s">
        <v>52</v>
      </c>
      <c r="H1033" t="s">
        <v>57</v>
      </c>
      <c r="I1033">
        <v>2</v>
      </c>
      <c r="J1033">
        <v>1</v>
      </c>
      <c r="K1033" t="s">
        <v>171</v>
      </c>
      <c r="L1033">
        <v>1</v>
      </c>
      <c r="M1033" t="s">
        <v>242</v>
      </c>
      <c r="N1033">
        <v>1432</v>
      </c>
    </row>
    <row r="1034" spans="1:14">
      <c r="A1034">
        <v>104</v>
      </c>
      <c r="B1034">
        <v>46222</v>
      </c>
      <c r="C1034" t="s">
        <v>19</v>
      </c>
      <c r="D1034" t="s">
        <v>52</v>
      </c>
      <c r="E1034">
        <v>3</v>
      </c>
      <c r="F1034">
        <v>46209</v>
      </c>
      <c r="G1034" t="s">
        <v>52</v>
      </c>
      <c r="H1034" t="s">
        <v>75</v>
      </c>
      <c r="I1034">
        <v>1</v>
      </c>
      <c r="J1034">
        <v>0</v>
      </c>
      <c r="K1034" t="s">
        <v>171</v>
      </c>
      <c r="L1034">
        <v>1</v>
      </c>
      <c r="M1034" t="s">
        <v>242</v>
      </c>
      <c r="N1034">
        <v>1427</v>
      </c>
    </row>
    <row r="1035" spans="1:14">
      <c r="A1035">
        <v>104</v>
      </c>
      <c r="B1035">
        <v>46222</v>
      </c>
      <c r="C1035" t="s">
        <v>19</v>
      </c>
      <c r="D1035" t="s">
        <v>52</v>
      </c>
      <c r="E1035">
        <v>4</v>
      </c>
      <c r="F1035">
        <v>46205</v>
      </c>
      <c r="G1035" t="s">
        <v>52</v>
      </c>
      <c r="H1035" t="s">
        <v>67</v>
      </c>
      <c r="I1035">
        <v>3</v>
      </c>
      <c r="J1035">
        <v>0</v>
      </c>
      <c r="K1035" t="s">
        <v>171</v>
      </c>
      <c r="L1035">
        <v>1</v>
      </c>
      <c r="M1035" t="s">
        <v>242</v>
      </c>
      <c r="N1035">
        <v>1417</v>
      </c>
    </row>
    <row r="1036" spans="1:14">
      <c r="A1036">
        <v>104</v>
      </c>
      <c r="B1036">
        <v>46222</v>
      </c>
      <c r="C1036" t="s">
        <v>19</v>
      </c>
      <c r="D1036" t="s">
        <v>52</v>
      </c>
      <c r="E1036">
        <v>5</v>
      </c>
      <c r="F1036">
        <v>46199</v>
      </c>
      <c r="G1036" t="s">
        <v>52</v>
      </c>
      <c r="H1036" t="s">
        <v>51</v>
      </c>
      <c r="I1036">
        <v>1</v>
      </c>
      <c r="J1036">
        <v>0</v>
      </c>
      <c r="K1036" t="s">
        <v>171</v>
      </c>
      <c r="L1036">
        <v>1</v>
      </c>
      <c r="M1036" t="s">
        <v>242</v>
      </c>
      <c r="N1036">
        <v>1398</v>
      </c>
    </row>
    <row r="1037" spans="1:14">
      <c r="A1037">
        <v>104</v>
      </c>
      <c r="B1037">
        <v>46222</v>
      </c>
      <c r="C1037" t="s">
        <v>24</v>
      </c>
      <c r="D1037" t="s">
        <v>65</v>
      </c>
      <c r="E1037">
        <v>1</v>
      </c>
      <c r="F1037">
        <v>46218</v>
      </c>
      <c r="G1037" t="s">
        <v>65</v>
      </c>
      <c r="H1037" t="s">
        <v>72</v>
      </c>
      <c r="I1037">
        <v>2</v>
      </c>
      <c r="J1037">
        <v>1</v>
      </c>
      <c r="K1037" t="s">
        <v>171</v>
      </c>
      <c r="L1037">
        <v>1</v>
      </c>
      <c r="M1037" t="s">
        <v>242</v>
      </c>
      <c r="N1037">
        <v>1436</v>
      </c>
    </row>
    <row r="1038" spans="1:14">
      <c r="A1038">
        <v>104</v>
      </c>
      <c r="B1038">
        <v>46222</v>
      </c>
      <c r="C1038" t="s">
        <v>24</v>
      </c>
      <c r="D1038" t="s">
        <v>65</v>
      </c>
      <c r="E1038">
        <v>2</v>
      </c>
      <c r="F1038">
        <v>46214</v>
      </c>
      <c r="G1038" t="s">
        <v>65</v>
      </c>
      <c r="H1038" t="s">
        <v>38</v>
      </c>
      <c r="I1038">
        <v>3</v>
      </c>
      <c r="J1038">
        <v>1</v>
      </c>
      <c r="K1038" t="s">
        <v>171</v>
      </c>
      <c r="L1038">
        <v>1</v>
      </c>
      <c r="M1038" t="s">
        <v>242</v>
      </c>
      <c r="N1038">
        <v>1434</v>
      </c>
    </row>
    <row r="1039" spans="1:14">
      <c r="A1039">
        <v>104</v>
      </c>
      <c r="B1039">
        <v>46222</v>
      </c>
      <c r="C1039" t="s">
        <v>24</v>
      </c>
      <c r="D1039" t="s">
        <v>65</v>
      </c>
      <c r="E1039">
        <v>3</v>
      </c>
      <c r="F1039">
        <v>46210</v>
      </c>
      <c r="G1039" t="s">
        <v>65</v>
      </c>
      <c r="H1039" t="s">
        <v>58</v>
      </c>
      <c r="I1039">
        <v>3</v>
      </c>
      <c r="J1039">
        <v>2</v>
      </c>
      <c r="K1039" t="s">
        <v>171</v>
      </c>
      <c r="L1039">
        <v>1</v>
      </c>
      <c r="M1039" t="s">
        <v>242</v>
      </c>
      <c r="N1039">
        <v>1429</v>
      </c>
    </row>
    <row r="1040" spans="1:14">
      <c r="A1040">
        <v>104</v>
      </c>
      <c r="B1040">
        <v>46222</v>
      </c>
      <c r="C1040" t="s">
        <v>24</v>
      </c>
      <c r="D1040" t="s">
        <v>65</v>
      </c>
      <c r="E1040">
        <v>4</v>
      </c>
      <c r="F1040">
        <v>46206</v>
      </c>
      <c r="G1040" t="s">
        <v>65</v>
      </c>
      <c r="H1040" t="s">
        <v>217</v>
      </c>
      <c r="I1040">
        <v>3</v>
      </c>
      <c r="J1040">
        <v>2</v>
      </c>
      <c r="K1040" t="s">
        <v>171</v>
      </c>
      <c r="L1040">
        <v>1</v>
      </c>
      <c r="M1040" t="s">
        <v>242</v>
      </c>
      <c r="N1040">
        <v>1421</v>
      </c>
    </row>
    <row r="1041" spans="1:14">
      <c r="A1041">
        <v>104</v>
      </c>
      <c r="B1041">
        <v>46222</v>
      </c>
      <c r="C1041" t="s">
        <v>24</v>
      </c>
      <c r="D1041" t="s">
        <v>65</v>
      </c>
      <c r="E1041">
        <v>5</v>
      </c>
      <c r="F1041">
        <v>46200</v>
      </c>
      <c r="G1041" t="s">
        <v>65</v>
      </c>
      <c r="H1041" t="s">
        <v>68</v>
      </c>
      <c r="I1041">
        <v>3</v>
      </c>
      <c r="J1041">
        <v>1</v>
      </c>
      <c r="K1041" t="s">
        <v>171</v>
      </c>
      <c r="L1041">
        <v>1</v>
      </c>
      <c r="M1041" t="s">
        <v>242</v>
      </c>
      <c r="N1041">
        <v>1402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2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2" width="16" customWidth="1"/>
    <col min="3" max="4" width="26" customWidth="1"/>
    <col min="5" max="10" width="16" customWidth="1"/>
  </cols>
  <sheetData>
    <row r="1" spans="1:10" ht="26.1" customHeight="1">
      <c r="A1" s="15" t="s">
        <v>169</v>
      </c>
      <c r="B1" s="17" t="s">
        <v>243</v>
      </c>
      <c r="C1" s="15" t="s">
        <v>244</v>
      </c>
      <c r="D1" s="15" t="s">
        <v>245</v>
      </c>
      <c r="E1" s="15" t="s">
        <v>246</v>
      </c>
      <c r="F1" s="15" t="s">
        <v>247</v>
      </c>
      <c r="G1" s="15" t="s">
        <v>248</v>
      </c>
      <c r="H1" s="15" t="s">
        <v>249</v>
      </c>
      <c r="I1" s="15" t="s">
        <v>250</v>
      </c>
      <c r="J1" s="15" t="s">
        <v>251</v>
      </c>
    </row>
    <row r="2" spans="1:10">
      <c r="A2">
        <v>701</v>
      </c>
      <c r="B2">
        <v>45943</v>
      </c>
      <c r="C2" t="s">
        <v>77</v>
      </c>
      <c r="D2" t="s">
        <v>51</v>
      </c>
      <c r="E2">
        <v>1</v>
      </c>
      <c r="F2">
        <v>2</v>
      </c>
      <c r="G2" t="s">
        <v>172</v>
      </c>
      <c r="H2" t="s">
        <v>252</v>
      </c>
      <c r="I2" t="s">
        <v>253</v>
      </c>
      <c r="J2" t="s">
        <v>254</v>
      </c>
    </row>
    <row r="3" spans="1:10">
      <c r="A3">
        <v>804</v>
      </c>
      <c r="B3">
        <v>45975</v>
      </c>
      <c r="C3" t="s">
        <v>234</v>
      </c>
      <c r="D3" t="s">
        <v>65</v>
      </c>
      <c r="E3">
        <v>0</v>
      </c>
      <c r="F3">
        <v>2</v>
      </c>
      <c r="G3" t="s">
        <v>172</v>
      </c>
      <c r="H3" t="s">
        <v>255</v>
      </c>
      <c r="I3" t="s">
        <v>234</v>
      </c>
      <c r="J3" t="s">
        <v>256</v>
      </c>
    </row>
    <row r="4" spans="1:10">
      <c r="A4">
        <v>812</v>
      </c>
      <c r="B4">
        <v>45975</v>
      </c>
      <c r="C4" t="s">
        <v>46</v>
      </c>
      <c r="D4" t="s">
        <v>70</v>
      </c>
      <c r="E4">
        <v>2</v>
      </c>
      <c r="F4">
        <v>0</v>
      </c>
      <c r="G4" t="s">
        <v>211</v>
      </c>
      <c r="H4" t="s">
        <v>257</v>
      </c>
      <c r="I4" t="s">
        <v>46</v>
      </c>
      <c r="J4" t="s">
        <v>256</v>
      </c>
    </row>
    <row r="5" spans="1:10">
      <c r="A5">
        <v>829</v>
      </c>
      <c r="B5">
        <v>45976</v>
      </c>
      <c r="C5" t="s">
        <v>20</v>
      </c>
      <c r="D5" t="s">
        <v>51</v>
      </c>
      <c r="E5">
        <v>0</v>
      </c>
      <c r="F5">
        <v>0</v>
      </c>
      <c r="G5" t="s">
        <v>172</v>
      </c>
      <c r="H5" t="s">
        <v>258</v>
      </c>
      <c r="I5" t="s">
        <v>20</v>
      </c>
      <c r="J5" t="s">
        <v>256</v>
      </c>
    </row>
    <row r="6" spans="1:10">
      <c r="A6">
        <v>831</v>
      </c>
      <c r="B6">
        <v>45976</v>
      </c>
      <c r="C6" t="s">
        <v>193</v>
      </c>
      <c r="D6" t="s">
        <v>29</v>
      </c>
      <c r="E6">
        <v>2</v>
      </c>
      <c r="F6">
        <v>1</v>
      </c>
      <c r="G6" t="s">
        <v>172</v>
      </c>
      <c r="H6" t="s">
        <v>259</v>
      </c>
      <c r="I6" t="s">
        <v>193</v>
      </c>
      <c r="J6" t="s">
        <v>256</v>
      </c>
    </row>
    <row r="7" spans="1:10">
      <c r="A7">
        <v>838</v>
      </c>
      <c r="B7">
        <v>45976</v>
      </c>
      <c r="C7" t="s">
        <v>235</v>
      </c>
      <c r="D7" t="s">
        <v>67</v>
      </c>
      <c r="E7">
        <v>0</v>
      </c>
      <c r="F7">
        <v>2</v>
      </c>
      <c r="G7" t="s">
        <v>185</v>
      </c>
      <c r="H7" t="s">
        <v>260</v>
      </c>
      <c r="I7" t="s">
        <v>235</v>
      </c>
      <c r="J7" t="s">
        <v>256</v>
      </c>
    </row>
    <row r="8" spans="1:10">
      <c r="A8">
        <v>853</v>
      </c>
      <c r="B8">
        <v>45977</v>
      </c>
      <c r="C8" t="s">
        <v>229</v>
      </c>
      <c r="D8" t="s">
        <v>60</v>
      </c>
      <c r="E8">
        <v>1</v>
      </c>
      <c r="F8">
        <v>3</v>
      </c>
      <c r="G8" t="s">
        <v>185</v>
      </c>
      <c r="H8" t="s">
        <v>261</v>
      </c>
      <c r="I8" t="s">
        <v>229</v>
      </c>
      <c r="J8" t="s">
        <v>256</v>
      </c>
    </row>
    <row r="9" spans="1:10">
      <c r="A9">
        <v>854</v>
      </c>
      <c r="B9">
        <v>45977</v>
      </c>
      <c r="C9" t="s">
        <v>75</v>
      </c>
      <c r="D9" t="s">
        <v>239</v>
      </c>
      <c r="E9">
        <v>9</v>
      </c>
      <c r="F9">
        <v>1</v>
      </c>
      <c r="G9" t="s">
        <v>185</v>
      </c>
      <c r="H9" t="s">
        <v>262</v>
      </c>
      <c r="I9" t="s">
        <v>75</v>
      </c>
      <c r="J9" t="s">
        <v>256</v>
      </c>
    </row>
    <row r="10" spans="1:10">
      <c r="A10">
        <v>857</v>
      </c>
      <c r="B10">
        <v>45977</v>
      </c>
      <c r="C10" t="s">
        <v>191</v>
      </c>
      <c r="D10" t="s">
        <v>63</v>
      </c>
      <c r="E10">
        <v>1</v>
      </c>
      <c r="F10">
        <v>4</v>
      </c>
      <c r="G10" t="s">
        <v>185</v>
      </c>
      <c r="H10" t="s">
        <v>263</v>
      </c>
      <c r="I10" t="s">
        <v>191</v>
      </c>
      <c r="J10" t="s">
        <v>256</v>
      </c>
    </row>
    <row r="11" spans="1:10">
      <c r="A11">
        <v>858</v>
      </c>
      <c r="B11">
        <v>45977</v>
      </c>
      <c r="C11" t="s">
        <v>237</v>
      </c>
      <c r="D11" t="s">
        <v>72</v>
      </c>
      <c r="E11">
        <v>0</v>
      </c>
      <c r="F11">
        <v>2</v>
      </c>
      <c r="G11" t="s">
        <v>185</v>
      </c>
      <c r="H11" t="s">
        <v>264</v>
      </c>
      <c r="I11" t="s">
        <v>237</v>
      </c>
      <c r="J11" t="s">
        <v>256</v>
      </c>
    </row>
    <row r="12" spans="1:10">
      <c r="A12">
        <v>867</v>
      </c>
      <c r="B12">
        <v>45978</v>
      </c>
      <c r="C12" t="s">
        <v>42</v>
      </c>
      <c r="D12" t="s">
        <v>207</v>
      </c>
      <c r="E12">
        <v>6</v>
      </c>
      <c r="F12">
        <v>0</v>
      </c>
      <c r="G12" t="s">
        <v>185</v>
      </c>
      <c r="H12" t="s">
        <v>265</v>
      </c>
      <c r="I12" t="s">
        <v>42</v>
      </c>
      <c r="J12" t="s">
        <v>256</v>
      </c>
    </row>
    <row r="13" spans="1:10">
      <c r="A13">
        <v>869</v>
      </c>
      <c r="B13">
        <v>45978</v>
      </c>
      <c r="C13" t="s">
        <v>45</v>
      </c>
      <c r="D13" t="s">
        <v>210</v>
      </c>
      <c r="E13">
        <v>4</v>
      </c>
      <c r="F13">
        <v>0</v>
      </c>
      <c r="G13" t="s">
        <v>185</v>
      </c>
      <c r="H13" t="s">
        <v>266</v>
      </c>
      <c r="I13" t="s">
        <v>45</v>
      </c>
      <c r="J13" t="s">
        <v>256</v>
      </c>
    </row>
    <row r="14" spans="1:10">
      <c r="A14">
        <v>870</v>
      </c>
      <c r="B14">
        <v>45978</v>
      </c>
      <c r="C14" t="s">
        <v>181</v>
      </c>
      <c r="D14" t="s">
        <v>187</v>
      </c>
      <c r="E14">
        <v>6</v>
      </c>
      <c r="F14">
        <v>0</v>
      </c>
      <c r="G14" t="s">
        <v>185</v>
      </c>
      <c r="H14" t="s">
        <v>267</v>
      </c>
      <c r="I14" t="s">
        <v>181</v>
      </c>
      <c r="J14" t="s">
        <v>256</v>
      </c>
    </row>
    <row r="15" spans="1:10">
      <c r="A15">
        <v>871</v>
      </c>
      <c r="B15">
        <v>45978</v>
      </c>
      <c r="C15" t="s">
        <v>238</v>
      </c>
      <c r="D15" t="s">
        <v>73</v>
      </c>
      <c r="E15">
        <v>2</v>
      </c>
      <c r="F15">
        <v>3</v>
      </c>
      <c r="G15" t="s">
        <v>185</v>
      </c>
      <c r="H15" t="s">
        <v>268</v>
      </c>
      <c r="I15" t="s">
        <v>238</v>
      </c>
      <c r="J15" t="s">
        <v>256</v>
      </c>
    </row>
    <row r="16" spans="1:10">
      <c r="A16">
        <v>872</v>
      </c>
      <c r="B16">
        <v>45978</v>
      </c>
      <c r="C16" t="s">
        <v>217</v>
      </c>
      <c r="D16" t="s">
        <v>58</v>
      </c>
      <c r="E16">
        <v>1</v>
      </c>
      <c r="F16">
        <v>1</v>
      </c>
      <c r="G16" t="s">
        <v>220</v>
      </c>
      <c r="H16" t="s">
        <v>269</v>
      </c>
      <c r="I16" t="s">
        <v>270</v>
      </c>
      <c r="J16" t="s">
        <v>254</v>
      </c>
    </row>
    <row r="17" spans="1:10">
      <c r="A17">
        <v>881</v>
      </c>
      <c r="B17">
        <v>45979</v>
      </c>
      <c r="C17" t="s">
        <v>46</v>
      </c>
      <c r="D17" t="s">
        <v>196</v>
      </c>
      <c r="E17">
        <v>3</v>
      </c>
      <c r="F17">
        <v>0</v>
      </c>
      <c r="G17" t="s">
        <v>211</v>
      </c>
      <c r="H17" t="s">
        <v>271</v>
      </c>
      <c r="I17" t="s">
        <v>46</v>
      </c>
      <c r="J17" t="s">
        <v>256</v>
      </c>
    </row>
    <row r="18" spans="1:10">
      <c r="A18">
        <v>895</v>
      </c>
      <c r="B18">
        <v>45979</v>
      </c>
      <c r="C18" t="s">
        <v>35</v>
      </c>
      <c r="D18" t="s">
        <v>48</v>
      </c>
      <c r="E18">
        <v>1</v>
      </c>
      <c r="F18">
        <v>1</v>
      </c>
      <c r="G18" t="s">
        <v>172</v>
      </c>
      <c r="H18" t="s">
        <v>272</v>
      </c>
      <c r="I18" t="s">
        <v>60</v>
      </c>
      <c r="J18" t="s">
        <v>254</v>
      </c>
    </row>
    <row r="19" spans="1:10">
      <c r="A19">
        <v>896</v>
      </c>
      <c r="B19">
        <v>45979</v>
      </c>
      <c r="C19" t="s">
        <v>25</v>
      </c>
      <c r="D19" t="s">
        <v>189</v>
      </c>
      <c r="E19">
        <v>2</v>
      </c>
      <c r="F19">
        <v>0</v>
      </c>
      <c r="G19" t="s">
        <v>172</v>
      </c>
      <c r="H19" t="s">
        <v>273</v>
      </c>
      <c r="I19" t="s">
        <v>193</v>
      </c>
      <c r="J19" t="s">
        <v>254</v>
      </c>
    </row>
    <row r="20" spans="1:10">
      <c r="A20">
        <v>898</v>
      </c>
      <c r="B20">
        <v>45979</v>
      </c>
      <c r="C20" t="s">
        <v>78</v>
      </c>
      <c r="D20" t="s">
        <v>33</v>
      </c>
      <c r="E20">
        <v>3</v>
      </c>
      <c r="F20">
        <v>0</v>
      </c>
      <c r="G20" t="s">
        <v>172</v>
      </c>
      <c r="H20" t="s">
        <v>274</v>
      </c>
      <c r="I20" t="s">
        <v>193</v>
      </c>
      <c r="J20" t="s">
        <v>254</v>
      </c>
    </row>
    <row r="21" spans="1:10">
      <c r="A21">
        <v>900</v>
      </c>
      <c r="B21">
        <v>45979</v>
      </c>
      <c r="C21" t="s">
        <v>41</v>
      </c>
      <c r="D21" t="s">
        <v>56</v>
      </c>
      <c r="E21">
        <v>2</v>
      </c>
      <c r="F21">
        <v>0</v>
      </c>
      <c r="G21" t="s">
        <v>172</v>
      </c>
      <c r="H21" t="s">
        <v>275</v>
      </c>
      <c r="I21" t="s">
        <v>193</v>
      </c>
      <c r="J21" t="s">
        <v>254</v>
      </c>
    </row>
    <row r="22" spans="1:10">
      <c r="A22">
        <v>902</v>
      </c>
      <c r="B22">
        <v>45979</v>
      </c>
      <c r="C22" t="s">
        <v>177</v>
      </c>
      <c r="D22" t="s">
        <v>70</v>
      </c>
      <c r="E22">
        <v>1</v>
      </c>
      <c r="F22">
        <v>0</v>
      </c>
      <c r="G22" t="s">
        <v>172</v>
      </c>
      <c r="H22" t="s">
        <v>276</v>
      </c>
      <c r="I22" t="s">
        <v>177</v>
      </c>
      <c r="J22" t="s">
        <v>256</v>
      </c>
    </row>
    <row r="23" spans="1:10">
      <c r="A23">
        <v>903</v>
      </c>
      <c r="B23">
        <v>45979</v>
      </c>
      <c r="C23" t="s">
        <v>20</v>
      </c>
      <c r="D23" t="s">
        <v>29</v>
      </c>
      <c r="E23">
        <v>1</v>
      </c>
      <c r="F23">
        <v>2</v>
      </c>
      <c r="G23" t="s">
        <v>172</v>
      </c>
      <c r="H23" t="s">
        <v>277</v>
      </c>
      <c r="I23" t="s">
        <v>193</v>
      </c>
      <c r="J23" t="s">
        <v>254</v>
      </c>
    </row>
    <row r="24" spans="1:10">
      <c r="A24">
        <v>904</v>
      </c>
      <c r="B24">
        <v>45979</v>
      </c>
      <c r="C24" t="s">
        <v>193</v>
      </c>
      <c r="D24" t="s">
        <v>51</v>
      </c>
      <c r="E24">
        <v>5</v>
      </c>
      <c r="F24">
        <v>1</v>
      </c>
      <c r="G24" t="s">
        <v>172</v>
      </c>
      <c r="H24" t="s">
        <v>278</v>
      </c>
      <c r="I24" t="s">
        <v>193</v>
      </c>
      <c r="J24" t="s">
        <v>256</v>
      </c>
    </row>
    <row r="25" spans="1:10">
      <c r="A25">
        <v>906</v>
      </c>
      <c r="B25">
        <v>45979</v>
      </c>
      <c r="C25" t="s">
        <v>183</v>
      </c>
      <c r="D25" t="s">
        <v>38</v>
      </c>
      <c r="E25">
        <v>1</v>
      </c>
      <c r="F25">
        <v>1</v>
      </c>
      <c r="G25" t="s">
        <v>185</v>
      </c>
      <c r="H25" t="s">
        <v>279</v>
      </c>
      <c r="I25" t="s">
        <v>183</v>
      </c>
      <c r="J25" t="s">
        <v>256</v>
      </c>
    </row>
    <row r="26" spans="1:10">
      <c r="A26">
        <v>907</v>
      </c>
      <c r="B26">
        <v>45979</v>
      </c>
      <c r="C26" t="s">
        <v>47</v>
      </c>
      <c r="D26" t="s">
        <v>214</v>
      </c>
      <c r="E26">
        <v>1</v>
      </c>
      <c r="F26">
        <v>1</v>
      </c>
      <c r="G26" t="s">
        <v>185</v>
      </c>
      <c r="H26" t="s">
        <v>280</v>
      </c>
      <c r="I26" t="s">
        <v>47</v>
      </c>
      <c r="J26" t="s">
        <v>256</v>
      </c>
    </row>
    <row r="27" spans="1:10">
      <c r="A27">
        <v>908</v>
      </c>
      <c r="B27">
        <v>45979</v>
      </c>
      <c r="C27" t="s">
        <v>32</v>
      </c>
      <c r="D27" t="s">
        <v>184</v>
      </c>
      <c r="E27">
        <v>4</v>
      </c>
      <c r="F27">
        <v>2</v>
      </c>
      <c r="G27" t="s">
        <v>185</v>
      </c>
      <c r="H27" t="s">
        <v>281</v>
      </c>
      <c r="I27" t="s">
        <v>32</v>
      </c>
      <c r="J27" t="s">
        <v>256</v>
      </c>
    </row>
    <row r="28" spans="1:10">
      <c r="A28">
        <v>910</v>
      </c>
      <c r="B28">
        <v>45979</v>
      </c>
      <c r="C28" t="s">
        <v>52</v>
      </c>
      <c r="D28" t="s">
        <v>198</v>
      </c>
      <c r="E28">
        <v>2</v>
      </c>
      <c r="F28">
        <v>2</v>
      </c>
      <c r="G28" t="s">
        <v>185</v>
      </c>
      <c r="H28" t="s">
        <v>282</v>
      </c>
      <c r="I28" t="s">
        <v>52</v>
      </c>
      <c r="J28" t="s">
        <v>256</v>
      </c>
    </row>
    <row r="29" spans="1:10">
      <c r="A29">
        <v>912</v>
      </c>
      <c r="B29">
        <v>45979</v>
      </c>
      <c r="C29" t="s">
        <v>67</v>
      </c>
      <c r="D29" t="s">
        <v>26</v>
      </c>
      <c r="E29">
        <v>1</v>
      </c>
      <c r="F29">
        <v>1</v>
      </c>
      <c r="G29" t="s">
        <v>185</v>
      </c>
      <c r="H29" t="s">
        <v>283</v>
      </c>
      <c r="I29" t="s">
        <v>67</v>
      </c>
      <c r="J29" t="s">
        <v>256</v>
      </c>
    </row>
    <row r="30" spans="1:10">
      <c r="A30">
        <v>915</v>
      </c>
      <c r="B30">
        <v>45979</v>
      </c>
      <c r="C30" t="s">
        <v>57</v>
      </c>
      <c r="D30" t="s">
        <v>226</v>
      </c>
      <c r="E30">
        <v>7</v>
      </c>
      <c r="F30">
        <v>0</v>
      </c>
      <c r="G30" t="s">
        <v>185</v>
      </c>
      <c r="H30" t="s">
        <v>284</v>
      </c>
      <c r="I30" t="s">
        <v>57</v>
      </c>
      <c r="J30" t="s">
        <v>256</v>
      </c>
    </row>
    <row r="31" spans="1:10">
      <c r="A31">
        <v>919</v>
      </c>
      <c r="B31">
        <v>45979</v>
      </c>
      <c r="C31" t="s">
        <v>221</v>
      </c>
      <c r="D31" t="s">
        <v>77</v>
      </c>
      <c r="E31">
        <v>0</v>
      </c>
      <c r="F31">
        <v>0</v>
      </c>
      <c r="G31" t="s">
        <v>220</v>
      </c>
      <c r="H31" t="s">
        <v>269</v>
      </c>
      <c r="I31" t="s">
        <v>270</v>
      </c>
      <c r="J31" t="s">
        <v>254</v>
      </c>
    </row>
    <row r="32" spans="1:10">
      <c r="A32">
        <v>922</v>
      </c>
      <c r="B32">
        <v>45979</v>
      </c>
      <c r="C32" t="s">
        <v>173</v>
      </c>
      <c r="D32" t="s">
        <v>43</v>
      </c>
      <c r="E32">
        <v>0</v>
      </c>
      <c r="F32">
        <v>0</v>
      </c>
      <c r="G32" t="s">
        <v>185</v>
      </c>
      <c r="H32" t="s">
        <v>285</v>
      </c>
      <c r="I32" t="s">
        <v>173</v>
      </c>
      <c r="J32" t="s">
        <v>256</v>
      </c>
    </row>
    <row r="33" spans="1:10">
      <c r="A33">
        <v>925</v>
      </c>
      <c r="B33">
        <v>45979</v>
      </c>
      <c r="C33" t="s">
        <v>31</v>
      </c>
      <c r="D33" t="s">
        <v>174</v>
      </c>
      <c r="E33">
        <v>2</v>
      </c>
      <c r="F33">
        <v>0</v>
      </c>
      <c r="G33" t="s">
        <v>185</v>
      </c>
      <c r="H33" t="s">
        <v>286</v>
      </c>
      <c r="I33" t="s">
        <v>43</v>
      </c>
      <c r="J33" t="s">
        <v>254</v>
      </c>
    </row>
    <row r="34" spans="1:10">
      <c r="A34">
        <v>938</v>
      </c>
      <c r="B34">
        <v>45992</v>
      </c>
      <c r="C34" t="s">
        <v>37</v>
      </c>
      <c r="D34" t="s">
        <v>204</v>
      </c>
      <c r="E34">
        <v>0</v>
      </c>
      <c r="F34">
        <v>1</v>
      </c>
      <c r="G34" t="s">
        <v>202</v>
      </c>
      <c r="H34" t="s">
        <v>287</v>
      </c>
      <c r="I34" t="s">
        <v>37</v>
      </c>
      <c r="J34" t="s">
        <v>256</v>
      </c>
    </row>
    <row r="35" spans="1:10">
      <c r="A35">
        <v>946</v>
      </c>
      <c r="B35">
        <v>45995</v>
      </c>
      <c r="C35" t="s">
        <v>37</v>
      </c>
      <c r="D35" t="s">
        <v>203</v>
      </c>
      <c r="E35">
        <v>1</v>
      </c>
      <c r="F35">
        <v>1</v>
      </c>
      <c r="G35" t="s">
        <v>202</v>
      </c>
      <c r="H35" t="s">
        <v>288</v>
      </c>
      <c r="I35" t="s">
        <v>37</v>
      </c>
      <c r="J35" t="s">
        <v>256</v>
      </c>
    </row>
    <row r="36" spans="1:10">
      <c r="A36">
        <v>953</v>
      </c>
      <c r="B36">
        <v>45998</v>
      </c>
      <c r="C36" t="s">
        <v>37</v>
      </c>
      <c r="D36" t="s">
        <v>48</v>
      </c>
      <c r="E36">
        <v>0</v>
      </c>
      <c r="F36">
        <v>3</v>
      </c>
      <c r="G36" t="s">
        <v>202</v>
      </c>
      <c r="H36" t="s">
        <v>287</v>
      </c>
      <c r="I36" t="s">
        <v>37</v>
      </c>
      <c r="J36" t="s">
        <v>256</v>
      </c>
    </row>
    <row r="37" spans="1:10">
      <c r="A37">
        <v>963</v>
      </c>
      <c r="B37">
        <v>46003</v>
      </c>
      <c r="C37" t="s">
        <v>68</v>
      </c>
      <c r="D37" t="s">
        <v>62</v>
      </c>
      <c r="E37">
        <v>1</v>
      </c>
      <c r="F37">
        <v>0</v>
      </c>
      <c r="G37" t="s">
        <v>202</v>
      </c>
      <c r="H37" t="s">
        <v>288</v>
      </c>
      <c r="I37" t="s">
        <v>37</v>
      </c>
      <c r="J37" t="s">
        <v>254</v>
      </c>
    </row>
    <row r="38" spans="1:10">
      <c r="A38">
        <v>967</v>
      </c>
      <c r="B38">
        <v>46009</v>
      </c>
      <c r="C38" t="s">
        <v>68</v>
      </c>
      <c r="D38" t="s">
        <v>36</v>
      </c>
      <c r="E38">
        <v>2</v>
      </c>
      <c r="F38">
        <v>3</v>
      </c>
      <c r="G38" t="s">
        <v>202</v>
      </c>
      <c r="H38" t="s">
        <v>289</v>
      </c>
      <c r="I38" t="s">
        <v>37</v>
      </c>
      <c r="J38" t="s">
        <v>254</v>
      </c>
    </row>
    <row r="39" spans="1:10">
      <c r="A39">
        <v>1005</v>
      </c>
      <c r="B39">
        <v>46025</v>
      </c>
      <c r="C39" t="s">
        <v>215</v>
      </c>
      <c r="D39" t="s">
        <v>48</v>
      </c>
      <c r="E39">
        <v>1</v>
      </c>
      <c r="F39">
        <v>1</v>
      </c>
      <c r="G39" t="s">
        <v>176</v>
      </c>
      <c r="H39" t="s">
        <v>290</v>
      </c>
      <c r="I39" t="s">
        <v>36</v>
      </c>
      <c r="J39" t="s">
        <v>254</v>
      </c>
    </row>
    <row r="40" spans="1:10">
      <c r="A40">
        <v>1007</v>
      </c>
      <c r="B40">
        <v>46026</v>
      </c>
      <c r="C40" t="s">
        <v>21</v>
      </c>
      <c r="D40" t="s">
        <v>175</v>
      </c>
      <c r="E40">
        <v>1</v>
      </c>
      <c r="F40">
        <v>2</v>
      </c>
      <c r="G40" t="s">
        <v>176</v>
      </c>
      <c r="H40" t="s">
        <v>291</v>
      </c>
      <c r="I40" t="s">
        <v>36</v>
      </c>
      <c r="J40" t="s">
        <v>254</v>
      </c>
    </row>
    <row r="41" spans="1:10">
      <c r="A41">
        <v>1010</v>
      </c>
      <c r="B41">
        <v>46028</v>
      </c>
      <c r="C41" t="s">
        <v>66</v>
      </c>
      <c r="D41" t="s">
        <v>240</v>
      </c>
      <c r="E41">
        <v>1</v>
      </c>
      <c r="F41">
        <v>0</v>
      </c>
      <c r="G41" t="s">
        <v>176</v>
      </c>
      <c r="H41" t="s">
        <v>291</v>
      </c>
      <c r="I41" t="s">
        <v>36</v>
      </c>
      <c r="J41" t="s">
        <v>254</v>
      </c>
    </row>
    <row r="42" spans="1:10">
      <c r="A42">
        <v>1011</v>
      </c>
      <c r="B42">
        <v>46028</v>
      </c>
      <c r="C42" t="s">
        <v>180</v>
      </c>
      <c r="D42" t="s">
        <v>205</v>
      </c>
      <c r="E42">
        <v>3</v>
      </c>
      <c r="F42">
        <v>0</v>
      </c>
      <c r="G42" t="s">
        <v>176</v>
      </c>
      <c r="H42" t="s">
        <v>292</v>
      </c>
      <c r="I42" t="s">
        <v>36</v>
      </c>
      <c r="J42" t="s">
        <v>254</v>
      </c>
    </row>
    <row r="43" spans="1:10">
      <c r="A43">
        <v>1014</v>
      </c>
      <c r="B43">
        <v>46032</v>
      </c>
      <c r="C43" t="s">
        <v>66</v>
      </c>
      <c r="D43" t="s">
        <v>225</v>
      </c>
      <c r="E43">
        <v>0</v>
      </c>
      <c r="F43">
        <v>2</v>
      </c>
      <c r="G43" t="s">
        <v>176</v>
      </c>
      <c r="H43" t="s">
        <v>292</v>
      </c>
      <c r="I43" t="s">
        <v>36</v>
      </c>
      <c r="J43" t="s">
        <v>254</v>
      </c>
    </row>
    <row r="44" spans="1:10">
      <c r="A44">
        <v>1015</v>
      </c>
      <c r="B44">
        <v>46032</v>
      </c>
      <c r="C44" t="s">
        <v>58</v>
      </c>
      <c r="D44" t="s">
        <v>180</v>
      </c>
      <c r="E44">
        <v>3</v>
      </c>
      <c r="F44">
        <v>2</v>
      </c>
      <c r="G44" t="s">
        <v>176</v>
      </c>
      <c r="H44" t="s">
        <v>293</v>
      </c>
      <c r="I44" t="s">
        <v>36</v>
      </c>
      <c r="J44" t="s">
        <v>254</v>
      </c>
    </row>
    <row r="45" spans="1:10">
      <c r="A45">
        <v>1018</v>
      </c>
      <c r="B45">
        <v>46039</v>
      </c>
      <c r="C45" t="s">
        <v>58</v>
      </c>
      <c r="D45" t="s">
        <v>225</v>
      </c>
      <c r="E45">
        <v>0</v>
      </c>
      <c r="F45">
        <v>0</v>
      </c>
      <c r="G45" t="s">
        <v>176</v>
      </c>
      <c r="H45" t="s">
        <v>290</v>
      </c>
      <c r="I45" t="s">
        <v>36</v>
      </c>
      <c r="J45" t="s">
        <v>254</v>
      </c>
    </row>
    <row r="46" spans="1:10">
      <c r="A46">
        <v>1019</v>
      </c>
      <c r="B46">
        <v>46040</v>
      </c>
      <c r="C46" t="s">
        <v>36</v>
      </c>
      <c r="D46" t="s">
        <v>61</v>
      </c>
      <c r="E46">
        <v>3</v>
      </c>
      <c r="F46">
        <v>0</v>
      </c>
      <c r="G46" t="s">
        <v>176</v>
      </c>
      <c r="H46" t="s">
        <v>291</v>
      </c>
      <c r="I46" t="s">
        <v>36</v>
      </c>
      <c r="J46" t="s">
        <v>256</v>
      </c>
    </row>
    <row r="47" spans="1:10">
      <c r="A47">
        <v>1024</v>
      </c>
      <c r="B47">
        <v>46048</v>
      </c>
      <c r="C47" t="s">
        <v>77</v>
      </c>
      <c r="D47" t="s">
        <v>209</v>
      </c>
      <c r="E47">
        <v>2</v>
      </c>
      <c r="F47">
        <v>2</v>
      </c>
      <c r="G47" t="s">
        <v>172</v>
      </c>
      <c r="H47" t="s">
        <v>294</v>
      </c>
      <c r="I47" t="s">
        <v>270</v>
      </c>
      <c r="J47" t="s">
        <v>254</v>
      </c>
    </row>
    <row r="48" spans="1:10">
      <c r="A48">
        <v>1027</v>
      </c>
      <c r="B48">
        <v>46106</v>
      </c>
      <c r="C48" t="s">
        <v>218</v>
      </c>
      <c r="D48" t="s">
        <v>240</v>
      </c>
      <c r="E48">
        <v>0</v>
      </c>
      <c r="F48">
        <v>2</v>
      </c>
      <c r="G48" t="s">
        <v>172</v>
      </c>
      <c r="H48" t="s">
        <v>295</v>
      </c>
      <c r="I48" t="s">
        <v>20</v>
      </c>
      <c r="J48" t="s">
        <v>254</v>
      </c>
    </row>
    <row r="49" spans="1:10">
      <c r="A49">
        <v>1033</v>
      </c>
      <c r="B49">
        <v>46107</v>
      </c>
      <c r="C49" t="s">
        <v>35</v>
      </c>
      <c r="D49" t="s">
        <v>60</v>
      </c>
      <c r="E49">
        <v>1</v>
      </c>
      <c r="F49">
        <v>2</v>
      </c>
      <c r="G49" t="s">
        <v>172</v>
      </c>
      <c r="H49" t="s">
        <v>296</v>
      </c>
      <c r="I49" t="s">
        <v>193</v>
      </c>
      <c r="J49" t="s">
        <v>254</v>
      </c>
    </row>
    <row r="50" spans="1:10">
      <c r="A50">
        <v>1034</v>
      </c>
      <c r="B50">
        <v>46107</v>
      </c>
      <c r="C50" t="s">
        <v>78</v>
      </c>
      <c r="D50" t="s">
        <v>73</v>
      </c>
      <c r="E50">
        <v>1</v>
      </c>
      <c r="F50">
        <v>2</v>
      </c>
      <c r="G50" t="s">
        <v>172</v>
      </c>
      <c r="H50" t="s">
        <v>297</v>
      </c>
      <c r="I50" t="s">
        <v>193</v>
      </c>
      <c r="J50" t="s">
        <v>254</v>
      </c>
    </row>
    <row r="51" spans="1:10">
      <c r="A51">
        <v>1042</v>
      </c>
      <c r="B51">
        <v>46107</v>
      </c>
      <c r="C51" t="s">
        <v>192</v>
      </c>
      <c r="D51" t="s">
        <v>26</v>
      </c>
      <c r="E51">
        <v>1</v>
      </c>
      <c r="F51">
        <v>1</v>
      </c>
      <c r="G51" t="s">
        <v>185</v>
      </c>
      <c r="H51" t="s">
        <v>298</v>
      </c>
      <c r="I51" t="s">
        <v>192</v>
      </c>
      <c r="J51" t="s">
        <v>256</v>
      </c>
    </row>
    <row r="52" spans="1:10">
      <c r="A52">
        <v>1044</v>
      </c>
      <c r="B52">
        <v>46107</v>
      </c>
      <c r="C52" t="s">
        <v>213</v>
      </c>
      <c r="D52" t="s">
        <v>47</v>
      </c>
      <c r="E52">
        <v>1</v>
      </c>
      <c r="F52">
        <v>3</v>
      </c>
      <c r="G52" t="s">
        <v>185</v>
      </c>
      <c r="H52" t="s">
        <v>299</v>
      </c>
      <c r="I52" t="s">
        <v>52</v>
      </c>
      <c r="J52" t="s">
        <v>254</v>
      </c>
    </row>
    <row r="53" spans="1:10">
      <c r="A53">
        <v>1046</v>
      </c>
      <c r="B53">
        <v>46107</v>
      </c>
      <c r="C53" t="s">
        <v>198</v>
      </c>
      <c r="D53" t="s">
        <v>199</v>
      </c>
      <c r="E53">
        <v>1</v>
      </c>
      <c r="F53">
        <v>0</v>
      </c>
      <c r="G53" t="s">
        <v>185</v>
      </c>
      <c r="H53" t="s">
        <v>300</v>
      </c>
      <c r="I53" t="s">
        <v>198</v>
      </c>
      <c r="J53" t="s">
        <v>256</v>
      </c>
    </row>
    <row r="54" spans="1:10">
      <c r="A54">
        <v>1047</v>
      </c>
      <c r="B54">
        <v>46107</v>
      </c>
      <c r="C54" t="s">
        <v>181</v>
      </c>
      <c r="D54" t="s">
        <v>186</v>
      </c>
      <c r="E54">
        <v>2</v>
      </c>
      <c r="F54">
        <v>2</v>
      </c>
      <c r="G54" t="s">
        <v>185</v>
      </c>
      <c r="H54" t="s">
        <v>301</v>
      </c>
      <c r="I54" t="s">
        <v>181</v>
      </c>
      <c r="J54" t="s">
        <v>256</v>
      </c>
    </row>
    <row r="55" spans="1:10">
      <c r="A55">
        <v>1059</v>
      </c>
      <c r="B55">
        <v>46108</v>
      </c>
      <c r="C55" t="s">
        <v>66</v>
      </c>
      <c r="D55" t="s">
        <v>182</v>
      </c>
      <c r="E55">
        <v>7</v>
      </c>
      <c r="F55">
        <v>0</v>
      </c>
      <c r="G55" t="s">
        <v>172</v>
      </c>
      <c r="H55" t="s">
        <v>302</v>
      </c>
      <c r="I55" t="s">
        <v>191</v>
      </c>
      <c r="J55" t="s">
        <v>254</v>
      </c>
    </row>
    <row r="56" spans="1:10">
      <c r="A56">
        <v>1060</v>
      </c>
      <c r="B56">
        <v>46108</v>
      </c>
      <c r="C56" t="s">
        <v>65</v>
      </c>
      <c r="D56" t="s">
        <v>233</v>
      </c>
      <c r="E56">
        <v>2</v>
      </c>
      <c r="F56">
        <v>1</v>
      </c>
      <c r="G56" t="s">
        <v>172</v>
      </c>
      <c r="H56" t="s">
        <v>303</v>
      </c>
      <c r="I56" t="s">
        <v>65</v>
      </c>
      <c r="J56" t="s">
        <v>256</v>
      </c>
    </row>
    <row r="57" spans="1:10">
      <c r="A57">
        <v>1061</v>
      </c>
      <c r="B57">
        <v>46108</v>
      </c>
      <c r="C57" t="s">
        <v>67</v>
      </c>
      <c r="D57" t="s">
        <v>70</v>
      </c>
      <c r="E57">
        <v>5</v>
      </c>
      <c r="F57">
        <v>1</v>
      </c>
      <c r="G57" t="s">
        <v>172</v>
      </c>
      <c r="H57" t="s">
        <v>283</v>
      </c>
      <c r="I57" t="s">
        <v>67</v>
      </c>
      <c r="J57" t="s">
        <v>256</v>
      </c>
    </row>
    <row r="58" spans="1:10">
      <c r="A58">
        <v>1062</v>
      </c>
      <c r="B58">
        <v>46108</v>
      </c>
      <c r="C58" t="s">
        <v>72</v>
      </c>
      <c r="D58" t="s">
        <v>51</v>
      </c>
      <c r="E58">
        <v>1</v>
      </c>
      <c r="F58">
        <v>1</v>
      </c>
      <c r="G58" t="s">
        <v>172</v>
      </c>
      <c r="H58" t="s">
        <v>304</v>
      </c>
      <c r="I58" t="s">
        <v>72</v>
      </c>
      <c r="J58" t="s">
        <v>256</v>
      </c>
    </row>
    <row r="59" spans="1:10">
      <c r="A59">
        <v>1063</v>
      </c>
      <c r="B59">
        <v>46108</v>
      </c>
      <c r="C59" t="s">
        <v>194</v>
      </c>
      <c r="D59" t="s">
        <v>29</v>
      </c>
      <c r="E59">
        <v>0</v>
      </c>
      <c r="F59">
        <v>1</v>
      </c>
      <c r="G59" t="s">
        <v>172</v>
      </c>
      <c r="H59" t="s">
        <v>305</v>
      </c>
      <c r="I59" t="s">
        <v>194</v>
      </c>
      <c r="J59" t="s">
        <v>256</v>
      </c>
    </row>
    <row r="60" spans="1:10">
      <c r="A60">
        <v>1068</v>
      </c>
      <c r="B60">
        <v>46108</v>
      </c>
      <c r="C60" t="s">
        <v>36</v>
      </c>
      <c r="D60" t="s">
        <v>41</v>
      </c>
      <c r="E60">
        <v>1</v>
      </c>
      <c r="F60">
        <v>1</v>
      </c>
      <c r="G60" t="s">
        <v>172</v>
      </c>
      <c r="H60" t="s">
        <v>306</v>
      </c>
      <c r="I60" t="s">
        <v>52</v>
      </c>
      <c r="J60" t="s">
        <v>254</v>
      </c>
    </row>
    <row r="61" spans="1:10">
      <c r="A61">
        <v>1069</v>
      </c>
      <c r="B61">
        <v>46108</v>
      </c>
      <c r="C61" t="s">
        <v>45</v>
      </c>
      <c r="D61" t="s">
        <v>63</v>
      </c>
      <c r="E61">
        <v>2</v>
      </c>
      <c r="F61">
        <v>1</v>
      </c>
      <c r="G61" t="s">
        <v>172</v>
      </c>
      <c r="H61" t="s">
        <v>266</v>
      </c>
      <c r="I61" t="s">
        <v>45</v>
      </c>
      <c r="J61" t="s">
        <v>256</v>
      </c>
    </row>
    <row r="62" spans="1:10">
      <c r="A62">
        <v>1070</v>
      </c>
      <c r="B62">
        <v>46108</v>
      </c>
      <c r="C62" t="s">
        <v>50</v>
      </c>
      <c r="D62" t="s">
        <v>58</v>
      </c>
      <c r="E62">
        <v>0</v>
      </c>
      <c r="F62">
        <v>4</v>
      </c>
      <c r="G62" t="s">
        <v>172</v>
      </c>
      <c r="H62" t="s">
        <v>307</v>
      </c>
      <c r="I62" t="s">
        <v>50</v>
      </c>
      <c r="J62" t="s">
        <v>256</v>
      </c>
    </row>
    <row r="63" spans="1:10">
      <c r="A63">
        <v>1071</v>
      </c>
      <c r="B63">
        <v>46108</v>
      </c>
      <c r="C63" t="s">
        <v>21</v>
      </c>
      <c r="D63" t="s">
        <v>71</v>
      </c>
      <c r="E63">
        <v>1</v>
      </c>
      <c r="F63">
        <v>1</v>
      </c>
      <c r="G63" t="s">
        <v>172</v>
      </c>
      <c r="H63" t="s">
        <v>308</v>
      </c>
      <c r="I63" t="s">
        <v>21</v>
      </c>
      <c r="J63" t="s">
        <v>256</v>
      </c>
    </row>
    <row r="64" spans="1:10">
      <c r="A64">
        <v>1072</v>
      </c>
      <c r="B64">
        <v>46108</v>
      </c>
      <c r="C64" t="s">
        <v>52</v>
      </c>
      <c r="D64" t="s">
        <v>170</v>
      </c>
      <c r="E64">
        <v>3</v>
      </c>
      <c r="F64">
        <v>0</v>
      </c>
      <c r="G64" t="s">
        <v>172</v>
      </c>
      <c r="H64" t="s">
        <v>309</v>
      </c>
      <c r="I64" t="s">
        <v>52</v>
      </c>
      <c r="J64" t="s">
        <v>256</v>
      </c>
    </row>
    <row r="65" spans="1:10">
      <c r="A65">
        <v>1074</v>
      </c>
      <c r="B65">
        <v>46108</v>
      </c>
      <c r="C65" t="s">
        <v>38</v>
      </c>
      <c r="D65" t="s">
        <v>42</v>
      </c>
      <c r="E65">
        <v>3</v>
      </c>
      <c r="F65">
        <v>4</v>
      </c>
      <c r="G65" t="s">
        <v>172</v>
      </c>
      <c r="H65" t="s">
        <v>310</v>
      </c>
      <c r="I65" t="s">
        <v>38</v>
      </c>
      <c r="J65" t="s">
        <v>256</v>
      </c>
    </row>
    <row r="66" spans="1:10">
      <c r="A66">
        <v>1075</v>
      </c>
      <c r="B66">
        <v>46108</v>
      </c>
      <c r="C66" t="s">
        <v>223</v>
      </c>
      <c r="D66" t="s">
        <v>68</v>
      </c>
      <c r="E66">
        <v>2</v>
      </c>
      <c r="F66">
        <v>2</v>
      </c>
      <c r="G66" t="s">
        <v>224</v>
      </c>
      <c r="H66" t="s">
        <v>311</v>
      </c>
      <c r="I66" t="s">
        <v>198</v>
      </c>
      <c r="J66" t="s">
        <v>254</v>
      </c>
    </row>
    <row r="67" spans="1:10">
      <c r="A67">
        <v>1076</v>
      </c>
      <c r="B67">
        <v>46108</v>
      </c>
      <c r="C67" t="s">
        <v>221</v>
      </c>
      <c r="D67" t="s">
        <v>225</v>
      </c>
      <c r="E67">
        <v>1</v>
      </c>
      <c r="F67">
        <v>2</v>
      </c>
      <c r="G67" t="s">
        <v>224</v>
      </c>
      <c r="H67" t="s">
        <v>311</v>
      </c>
      <c r="I67" t="s">
        <v>198</v>
      </c>
      <c r="J67" t="s">
        <v>254</v>
      </c>
    </row>
    <row r="68" spans="1:10">
      <c r="A68">
        <v>1077</v>
      </c>
      <c r="B68">
        <v>46108</v>
      </c>
      <c r="C68" t="s">
        <v>209</v>
      </c>
      <c r="D68" t="s">
        <v>43</v>
      </c>
      <c r="E68">
        <v>2</v>
      </c>
      <c r="F68">
        <v>0</v>
      </c>
      <c r="G68" t="s">
        <v>197</v>
      </c>
      <c r="H68" t="s">
        <v>312</v>
      </c>
      <c r="I68" t="s">
        <v>33</v>
      </c>
      <c r="J68" t="s">
        <v>254</v>
      </c>
    </row>
    <row r="69" spans="1:10">
      <c r="A69">
        <v>1078</v>
      </c>
      <c r="B69">
        <v>46108</v>
      </c>
      <c r="C69" t="s">
        <v>33</v>
      </c>
      <c r="D69" t="s">
        <v>175</v>
      </c>
      <c r="E69">
        <v>1</v>
      </c>
      <c r="F69">
        <v>0</v>
      </c>
      <c r="G69" t="s">
        <v>197</v>
      </c>
      <c r="H69" t="s">
        <v>312</v>
      </c>
      <c r="I69" t="s">
        <v>33</v>
      </c>
      <c r="J69" t="s">
        <v>256</v>
      </c>
    </row>
    <row r="70" spans="1:10">
      <c r="A70">
        <v>1082</v>
      </c>
      <c r="B70">
        <v>46108</v>
      </c>
      <c r="C70" t="s">
        <v>219</v>
      </c>
      <c r="D70" t="s">
        <v>217</v>
      </c>
      <c r="E70">
        <v>4</v>
      </c>
      <c r="F70">
        <v>2</v>
      </c>
      <c r="G70" t="s">
        <v>197</v>
      </c>
      <c r="H70" t="s">
        <v>313</v>
      </c>
      <c r="I70" t="s">
        <v>56</v>
      </c>
      <c r="J70" t="s">
        <v>254</v>
      </c>
    </row>
    <row r="71" spans="1:10">
      <c r="A71">
        <v>1083</v>
      </c>
      <c r="B71">
        <v>46108</v>
      </c>
      <c r="C71" t="s">
        <v>56</v>
      </c>
      <c r="D71" t="s">
        <v>206</v>
      </c>
      <c r="E71">
        <v>0</v>
      </c>
      <c r="F71">
        <v>2</v>
      </c>
      <c r="G71" t="s">
        <v>197</v>
      </c>
      <c r="H71" t="s">
        <v>313</v>
      </c>
      <c r="I71" t="s">
        <v>56</v>
      </c>
      <c r="J71" t="s">
        <v>256</v>
      </c>
    </row>
    <row r="72" spans="1:10">
      <c r="A72">
        <v>1087</v>
      </c>
      <c r="B72">
        <v>46108</v>
      </c>
      <c r="C72" t="s">
        <v>77</v>
      </c>
      <c r="D72" t="s">
        <v>241</v>
      </c>
      <c r="E72">
        <v>3</v>
      </c>
      <c r="F72">
        <v>1</v>
      </c>
      <c r="G72" t="s">
        <v>197</v>
      </c>
      <c r="H72" t="s">
        <v>314</v>
      </c>
      <c r="I72" t="s">
        <v>77</v>
      </c>
      <c r="J72" t="s">
        <v>256</v>
      </c>
    </row>
    <row r="73" spans="1:10">
      <c r="A73">
        <v>1094</v>
      </c>
      <c r="B73">
        <v>46109</v>
      </c>
      <c r="C73" t="s">
        <v>25</v>
      </c>
      <c r="D73" t="s">
        <v>188</v>
      </c>
      <c r="E73">
        <v>2</v>
      </c>
      <c r="F73">
        <v>2</v>
      </c>
      <c r="G73" t="s">
        <v>172</v>
      </c>
      <c r="H73" t="s">
        <v>315</v>
      </c>
      <c r="I73" t="s">
        <v>25</v>
      </c>
      <c r="J73" t="s">
        <v>256</v>
      </c>
    </row>
    <row r="74" spans="1:10">
      <c r="A74">
        <v>1095</v>
      </c>
      <c r="B74">
        <v>46109</v>
      </c>
      <c r="C74" t="s">
        <v>31</v>
      </c>
      <c r="D74" t="s">
        <v>48</v>
      </c>
      <c r="E74">
        <v>0</v>
      </c>
      <c r="F74">
        <v>1</v>
      </c>
      <c r="G74" t="s">
        <v>172</v>
      </c>
      <c r="H74" t="s">
        <v>315</v>
      </c>
      <c r="I74" t="s">
        <v>25</v>
      </c>
      <c r="J74" t="s">
        <v>254</v>
      </c>
    </row>
    <row r="75" spans="1:10">
      <c r="A75">
        <v>1097</v>
      </c>
      <c r="B75">
        <v>46109</v>
      </c>
      <c r="C75" t="s">
        <v>180</v>
      </c>
      <c r="D75" t="s">
        <v>177</v>
      </c>
      <c r="E75">
        <v>4</v>
      </c>
      <c r="F75">
        <v>0</v>
      </c>
      <c r="G75" t="s">
        <v>172</v>
      </c>
      <c r="H75" t="s">
        <v>316</v>
      </c>
      <c r="I75" t="s">
        <v>72</v>
      </c>
      <c r="J75" t="s">
        <v>254</v>
      </c>
    </row>
    <row r="76" spans="1:10">
      <c r="A76">
        <v>1098</v>
      </c>
      <c r="B76">
        <v>46109</v>
      </c>
      <c r="C76" t="s">
        <v>20</v>
      </c>
      <c r="D76" t="s">
        <v>75</v>
      </c>
      <c r="E76">
        <v>0</v>
      </c>
      <c r="F76">
        <v>0</v>
      </c>
      <c r="G76" t="s">
        <v>172</v>
      </c>
      <c r="H76" t="s">
        <v>317</v>
      </c>
      <c r="I76" t="s">
        <v>20</v>
      </c>
      <c r="J76" t="s">
        <v>256</v>
      </c>
    </row>
    <row r="77" spans="1:10">
      <c r="A77">
        <v>1100</v>
      </c>
      <c r="B77">
        <v>46109</v>
      </c>
      <c r="C77" t="s">
        <v>32</v>
      </c>
      <c r="D77" t="s">
        <v>46</v>
      </c>
      <c r="E77">
        <v>0</v>
      </c>
      <c r="F77">
        <v>1</v>
      </c>
      <c r="G77" t="s">
        <v>172</v>
      </c>
      <c r="H77" t="s">
        <v>281</v>
      </c>
      <c r="I77" t="s">
        <v>32</v>
      </c>
      <c r="J77" t="s">
        <v>256</v>
      </c>
    </row>
    <row r="78" spans="1:10">
      <c r="A78">
        <v>1101</v>
      </c>
      <c r="B78">
        <v>46109</v>
      </c>
      <c r="C78" t="s">
        <v>61</v>
      </c>
      <c r="D78" t="s">
        <v>195</v>
      </c>
      <c r="E78">
        <v>2</v>
      </c>
      <c r="F78">
        <v>0</v>
      </c>
      <c r="G78" t="s">
        <v>172</v>
      </c>
      <c r="H78" t="s">
        <v>318</v>
      </c>
      <c r="I78" t="s">
        <v>60</v>
      </c>
      <c r="J78" t="s">
        <v>254</v>
      </c>
    </row>
    <row r="79" spans="1:10">
      <c r="A79">
        <v>1102</v>
      </c>
      <c r="B79">
        <v>46109</v>
      </c>
      <c r="C79" t="s">
        <v>193</v>
      </c>
      <c r="D79" t="s">
        <v>57</v>
      </c>
      <c r="E79">
        <v>2</v>
      </c>
      <c r="F79">
        <v>5</v>
      </c>
      <c r="G79" t="s">
        <v>172</v>
      </c>
      <c r="H79" t="s">
        <v>319</v>
      </c>
      <c r="I79" t="s">
        <v>193</v>
      </c>
      <c r="J79" t="s">
        <v>256</v>
      </c>
    </row>
    <row r="80" spans="1:10">
      <c r="A80">
        <v>1109</v>
      </c>
      <c r="B80">
        <v>46110</v>
      </c>
      <c r="C80" t="s">
        <v>78</v>
      </c>
      <c r="D80" t="s">
        <v>60</v>
      </c>
      <c r="E80">
        <v>1</v>
      </c>
      <c r="F80">
        <v>3</v>
      </c>
      <c r="G80" t="s">
        <v>172</v>
      </c>
      <c r="H80" t="s">
        <v>320</v>
      </c>
      <c r="I80" t="s">
        <v>193</v>
      </c>
      <c r="J80" t="s">
        <v>254</v>
      </c>
    </row>
    <row r="81" spans="1:10">
      <c r="A81">
        <v>1122</v>
      </c>
      <c r="B81">
        <v>46111</v>
      </c>
      <c r="C81" t="s">
        <v>42</v>
      </c>
      <c r="D81" t="s">
        <v>70</v>
      </c>
      <c r="E81">
        <v>2</v>
      </c>
      <c r="F81">
        <v>1</v>
      </c>
      <c r="G81" t="s">
        <v>172</v>
      </c>
      <c r="H81" t="s">
        <v>321</v>
      </c>
      <c r="I81" t="s">
        <v>42</v>
      </c>
      <c r="J81" t="s">
        <v>256</v>
      </c>
    </row>
    <row r="82" spans="1:10">
      <c r="A82">
        <v>1126</v>
      </c>
      <c r="B82">
        <v>46111</v>
      </c>
      <c r="C82" t="s">
        <v>217</v>
      </c>
      <c r="D82" t="s">
        <v>206</v>
      </c>
      <c r="E82">
        <v>1</v>
      </c>
      <c r="F82">
        <v>1</v>
      </c>
      <c r="G82" t="s">
        <v>197</v>
      </c>
      <c r="H82" t="s">
        <v>313</v>
      </c>
      <c r="I82" t="s">
        <v>56</v>
      </c>
      <c r="J82" t="s">
        <v>254</v>
      </c>
    </row>
    <row r="83" spans="1:10">
      <c r="A83">
        <v>1127</v>
      </c>
      <c r="B83">
        <v>46111</v>
      </c>
      <c r="C83" t="s">
        <v>56</v>
      </c>
      <c r="D83" t="s">
        <v>219</v>
      </c>
      <c r="E83">
        <v>4</v>
      </c>
      <c r="F83">
        <v>1</v>
      </c>
      <c r="G83" t="s">
        <v>197</v>
      </c>
      <c r="H83" t="s">
        <v>313</v>
      </c>
      <c r="I83" t="s">
        <v>56</v>
      </c>
      <c r="J83" t="s">
        <v>256</v>
      </c>
    </row>
    <row r="84" spans="1:10">
      <c r="A84">
        <v>1131</v>
      </c>
      <c r="B84">
        <v>46111</v>
      </c>
      <c r="C84" t="s">
        <v>77</v>
      </c>
      <c r="D84" t="s">
        <v>189</v>
      </c>
      <c r="E84">
        <v>0</v>
      </c>
      <c r="F84">
        <v>0</v>
      </c>
      <c r="G84" t="s">
        <v>197</v>
      </c>
      <c r="H84" t="s">
        <v>314</v>
      </c>
      <c r="I84" t="s">
        <v>77</v>
      </c>
      <c r="J84" t="s">
        <v>256</v>
      </c>
    </row>
    <row r="85" spans="1:10">
      <c r="A85">
        <v>1134</v>
      </c>
      <c r="B85">
        <v>46112</v>
      </c>
      <c r="C85" t="s">
        <v>66</v>
      </c>
      <c r="D85" t="s">
        <v>51</v>
      </c>
      <c r="E85">
        <v>0</v>
      </c>
      <c r="F85">
        <v>0</v>
      </c>
      <c r="G85" t="s">
        <v>172</v>
      </c>
      <c r="H85" t="s">
        <v>322</v>
      </c>
      <c r="I85" t="s">
        <v>191</v>
      </c>
      <c r="J85" t="s">
        <v>254</v>
      </c>
    </row>
    <row r="86" spans="1:10">
      <c r="A86">
        <v>1135</v>
      </c>
      <c r="B86">
        <v>46112</v>
      </c>
      <c r="C86" t="s">
        <v>65</v>
      </c>
      <c r="D86" t="s">
        <v>232</v>
      </c>
      <c r="E86">
        <v>5</v>
      </c>
      <c r="F86">
        <v>0</v>
      </c>
      <c r="G86" t="s">
        <v>172</v>
      </c>
      <c r="H86" t="s">
        <v>303</v>
      </c>
      <c r="I86" t="s">
        <v>65</v>
      </c>
      <c r="J86" t="s">
        <v>256</v>
      </c>
    </row>
    <row r="87" spans="1:10">
      <c r="A87">
        <v>1136</v>
      </c>
      <c r="B87">
        <v>46112</v>
      </c>
      <c r="C87" t="s">
        <v>67</v>
      </c>
      <c r="D87" t="s">
        <v>177</v>
      </c>
      <c r="E87">
        <v>1</v>
      </c>
      <c r="F87">
        <v>0</v>
      </c>
      <c r="G87" t="s">
        <v>172</v>
      </c>
      <c r="H87" t="s">
        <v>283</v>
      </c>
      <c r="I87" t="s">
        <v>67</v>
      </c>
      <c r="J87" t="s">
        <v>256</v>
      </c>
    </row>
    <row r="88" spans="1:10">
      <c r="A88">
        <v>1138</v>
      </c>
      <c r="B88">
        <v>46112</v>
      </c>
      <c r="C88" t="s">
        <v>35</v>
      </c>
      <c r="D88" t="s">
        <v>73</v>
      </c>
      <c r="E88">
        <v>3</v>
      </c>
      <c r="F88">
        <v>1</v>
      </c>
      <c r="G88" t="s">
        <v>172</v>
      </c>
      <c r="H88" t="s">
        <v>297</v>
      </c>
      <c r="I88" t="s">
        <v>193</v>
      </c>
      <c r="J88" t="s">
        <v>254</v>
      </c>
    </row>
    <row r="89" spans="1:10">
      <c r="A89">
        <v>1140</v>
      </c>
      <c r="B89">
        <v>46112</v>
      </c>
      <c r="C89" t="s">
        <v>25</v>
      </c>
      <c r="D89" t="s">
        <v>48</v>
      </c>
      <c r="E89">
        <v>0</v>
      </c>
      <c r="F89">
        <v>0</v>
      </c>
      <c r="G89" t="s">
        <v>172</v>
      </c>
      <c r="H89" t="s">
        <v>315</v>
      </c>
      <c r="I89" t="s">
        <v>25</v>
      </c>
      <c r="J89" t="s">
        <v>256</v>
      </c>
    </row>
    <row r="90" spans="1:10">
      <c r="A90">
        <v>1141</v>
      </c>
      <c r="B90">
        <v>46112</v>
      </c>
      <c r="C90" t="s">
        <v>223</v>
      </c>
      <c r="D90" t="s">
        <v>221</v>
      </c>
      <c r="E90">
        <v>0</v>
      </c>
      <c r="F90">
        <v>5</v>
      </c>
      <c r="G90" t="s">
        <v>224</v>
      </c>
      <c r="H90" t="s">
        <v>311</v>
      </c>
      <c r="I90" t="s">
        <v>198</v>
      </c>
      <c r="J90" t="s">
        <v>254</v>
      </c>
    </row>
    <row r="91" spans="1:10">
      <c r="A91">
        <v>1142</v>
      </c>
      <c r="B91">
        <v>46112</v>
      </c>
      <c r="C91" t="s">
        <v>72</v>
      </c>
      <c r="D91" t="s">
        <v>46</v>
      </c>
      <c r="E91">
        <v>0</v>
      </c>
      <c r="F91">
        <v>1</v>
      </c>
      <c r="G91" t="s">
        <v>172</v>
      </c>
      <c r="H91" t="s">
        <v>304</v>
      </c>
      <c r="I91" t="s">
        <v>72</v>
      </c>
      <c r="J91" t="s">
        <v>256</v>
      </c>
    </row>
    <row r="92" spans="1:10">
      <c r="A92">
        <v>1144</v>
      </c>
      <c r="B92">
        <v>46112</v>
      </c>
      <c r="C92" t="s">
        <v>31</v>
      </c>
      <c r="D92" t="s">
        <v>188</v>
      </c>
      <c r="E92">
        <v>1</v>
      </c>
      <c r="F92">
        <v>1</v>
      </c>
      <c r="G92" t="s">
        <v>172</v>
      </c>
      <c r="H92" t="s">
        <v>315</v>
      </c>
      <c r="I92" t="s">
        <v>25</v>
      </c>
      <c r="J92" t="s">
        <v>254</v>
      </c>
    </row>
    <row r="93" spans="1:10">
      <c r="A93">
        <v>1146</v>
      </c>
      <c r="B93">
        <v>46112</v>
      </c>
      <c r="C93" t="s">
        <v>180</v>
      </c>
      <c r="D93" t="s">
        <v>32</v>
      </c>
      <c r="E93">
        <v>1</v>
      </c>
      <c r="F93">
        <v>0</v>
      </c>
      <c r="G93" t="s">
        <v>172</v>
      </c>
      <c r="H93" t="s">
        <v>323</v>
      </c>
      <c r="I93" t="s">
        <v>72</v>
      </c>
      <c r="J93" t="s">
        <v>254</v>
      </c>
    </row>
    <row r="94" spans="1:10">
      <c r="A94">
        <v>1147</v>
      </c>
      <c r="B94">
        <v>46112</v>
      </c>
      <c r="C94" t="s">
        <v>68</v>
      </c>
      <c r="D94" t="s">
        <v>225</v>
      </c>
      <c r="E94">
        <v>2</v>
      </c>
      <c r="F94">
        <v>2</v>
      </c>
      <c r="G94" t="s">
        <v>224</v>
      </c>
      <c r="H94" t="s">
        <v>311</v>
      </c>
      <c r="I94" t="s">
        <v>198</v>
      </c>
      <c r="J94" t="s">
        <v>254</v>
      </c>
    </row>
    <row r="95" spans="1:10">
      <c r="A95">
        <v>1150</v>
      </c>
      <c r="B95">
        <v>46112</v>
      </c>
      <c r="C95" t="s">
        <v>20</v>
      </c>
      <c r="D95" t="s">
        <v>57</v>
      </c>
      <c r="E95">
        <v>1</v>
      </c>
      <c r="F95">
        <v>1</v>
      </c>
      <c r="G95" t="s">
        <v>172</v>
      </c>
      <c r="H95" t="s">
        <v>324</v>
      </c>
      <c r="I95" t="s">
        <v>193</v>
      </c>
      <c r="J95" t="s">
        <v>254</v>
      </c>
    </row>
    <row r="96" spans="1:10">
      <c r="A96">
        <v>1152</v>
      </c>
      <c r="B96">
        <v>46112</v>
      </c>
      <c r="C96" t="s">
        <v>36</v>
      </c>
      <c r="D96" t="s">
        <v>29</v>
      </c>
      <c r="E96">
        <v>2</v>
      </c>
      <c r="F96">
        <v>1</v>
      </c>
      <c r="G96" t="s">
        <v>172</v>
      </c>
      <c r="H96" t="s">
        <v>325</v>
      </c>
      <c r="I96" t="s">
        <v>60</v>
      </c>
      <c r="J96" t="s">
        <v>254</v>
      </c>
    </row>
    <row r="97" spans="1:10">
      <c r="A97">
        <v>1153</v>
      </c>
      <c r="B97">
        <v>46112</v>
      </c>
      <c r="C97" t="s">
        <v>45</v>
      </c>
      <c r="D97" t="s">
        <v>41</v>
      </c>
      <c r="E97">
        <v>1</v>
      </c>
      <c r="F97">
        <v>1</v>
      </c>
      <c r="G97" t="s">
        <v>172</v>
      </c>
      <c r="H97" t="s">
        <v>326</v>
      </c>
      <c r="I97" t="s">
        <v>45</v>
      </c>
      <c r="J97" t="s">
        <v>256</v>
      </c>
    </row>
    <row r="98" spans="1:10">
      <c r="A98">
        <v>1155</v>
      </c>
      <c r="B98">
        <v>46112</v>
      </c>
      <c r="C98" t="s">
        <v>63</v>
      </c>
      <c r="D98" t="s">
        <v>38</v>
      </c>
      <c r="E98">
        <v>0</v>
      </c>
      <c r="F98">
        <v>0</v>
      </c>
      <c r="G98" t="s">
        <v>172</v>
      </c>
      <c r="H98" t="s">
        <v>327</v>
      </c>
      <c r="I98" t="s">
        <v>63</v>
      </c>
      <c r="J98" t="s">
        <v>256</v>
      </c>
    </row>
    <row r="99" spans="1:10">
      <c r="A99">
        <v>1160</v>
      </c>
      <c r="B99">
        <v>46112</v>
      </c>
      <c r="C99" t="s">
        <v>61</v>
      </c>
      <c r="D99" t="s">
        <v>222</v>
      </c>
      <c r="E99">
        <v>3</v>
      </c>
      <c r="F99">
        <v>1</v>
      </c>
      <c r="G99" t="s">
        <v>172</v>
      </c>
      <c r="H99" t="s">
        <v>328</v>
      </c>
      <c r="I99" t="s">
        <v>61</v>
      </c>
      <c r="J99" t="s">
        <v>256</v>
      </c>
    </row>
    <row r="100" spans="1:10">
      <c r="A100">
        <v>1161</v>
      </c>
      <c r="B100">
        <v>46112</v>
      </c>
      <c r="C100" t="s">
        <v>170</v>
      </c>
      <c r="D100" t="s">
        <v>50</v>
      </c>
      <c r="E100">
        <v>2</v>
      </c>
      <c r="F100">
        <v>1</v>
      </c>
      <c r="G100" t="s">
        <v>172</v>
      </c>
      <c r="H100" t="s">
        <v>329</v>
      </c>
      <c r="I100" t="s">
        <v>170</v>
      </c>
      <c r="J100" t="s">
        <v>256</v>
      </c>
    </row>
    <row r="101" spans="1:10">
      <c r="A101">
        <v>1163</v>
      </c>
      <c r="B101">
        <v>46112</v>
      </c>
      <c r="C101" t="s">
        <v>21</v>
      </c>
      <c r="D101" t="s">
        <v>71</v>
      </c>
      <c r="E101">
        <v>1</v>
      </c>
      <c r="F101">
        <v>2</v>
      </c>
      <c r="G101" t="s">
        <v>172</v>
      </c>
      <c r="H101" t="s">
        <v>330</v>
      </c>
      <c r="I101" t="s">
        <v>21</v>
      </c>
      <c r="J101" t="s">
        <v>256</v>
      </c>
    </row>
    <row r="102" spans="1:10">
      <c r="A102">
        <v>1164</v>
      </c>
      <c r="B102">
        <v>46112</v>
      </c>
      <c r="C102" t="s">
        <v>52</v>
      </c>
      <c r="D102" t="s">
        <v>58</v>
      </c>
      <c r="E102">
        <v>0</v>
      </c>
      <c r="F102">
        <v>0</v>
      </c>
      <c r="G102" t="s">
        <v>172</v>
      </c>
      <c r="H102" t="s">
        <v>331</v>
      </c>
      <c r="I102" t="s">
        <v>52</v>
      </c>
      <c r="J102" t="s">
        <v>256</v>
      </c>
    </row>
    <row r="103" spans="1:10">
      <c r="A103">
        <v>1166</v>
      </c>
      <c r="B103">
        <v>46112</v>
      </c>
      <c r="C103" t="s">
        <v>193</v>
      </c>
      <c r="D103" t="s">
        <v>75</v>
      </c>
      <c r="E103">
        <v>0</v>
      </c>
      <c r="F103">
        <v>2</v>
      </c>
      <c r="G103" t="s">
        <v>172</v>
      </c>
      <c r="H103" t="s">
        <v>319</v>
      </c>
      <c r="I103" t="s">
        <v>193</v>
      </c>
      <c r="J103" t="s">
        <v>256</v>
      </c>
    </row>
    <row r="104" spans="1:10">
      <c r="A104">
        <v>1168</v>
      </c>
      <c r="B104">
        <v>46112</v>
      </c>
      <c r="C104" t="s">
        <v>240</v>
      </c>
      <c r="D104" t="s">
        <v>173</v>
      </c>
      <c r="E104">
        <v>1</v>
      </c>
      <c r="F104">
        <v>0</v>
      </c>
      <c r="G104" t="s">
        <v>185</v>
      </c>
      <c r="H104" t="s">
        <v>295</v>
      </c>
      <c r="I104" t="s">
        <v>20</v>
      </c>
      <c r="J104" t="s">
        <v>254</v>
      </c>
    </row>
    <row r="105" spans="1:10">
      <c r="A105">
        <v>1169</v>
      </c>
      <c r="B105">
        <v>46112</v>
      </c>
      <c r="C105" t="s">
        <v>62</v>
      </c>
      <c r="D105" t="s">
        <v>196</v>
      </c>
      <c r="E105">
        <v>2</v>
      </c>
      <c r="F105">
        <v>1</v>
      </c>
      <c r="G105" t="s">
        <v>185</v>
      </c>
      <c r="H105" t="s">
        <v>332</v>
      </c>
      <c r="I105" t="s">
        <v>20</v>
      </c>
      <c r="J105" t="s">
        <v>254</v>
      </c>
    </row>
    <row r="106" spans="1:10">
      <c r="A106">
        <v>1170</v>
      </c>
      <c r="B106">
        <v>46112</v>
      </c>
      <c r="C106" t="s">
        <v>26</v>
      </c>
      <c r="D106" t="s">
        <v>191</v>
      </c>
      <c r="E106">
        <v>1</v>
      </c>
      <c r="F106">
        <v>1</v>
      </c>
      <c r="G106" t="s">
        <v>185</v>
      </c>
      <c r="H106" t="s">
        <v>333</v>
      </c>
      <c r="I106" t="s">
        <v>26</v>
      </c>
      <c r="J106" t="s">
        <v>256</v>
      </c>
    </row>
    <row r="107" spans="1:10">
      <c r="A107">
        <v>1171</v>
      </c>
      <c r="B107">
        <v>46112</v>
      </c>
      <c r="C107" t="s">
        <v>47</v>
      </c>
      <c r="D107" t="s">
        <v>212</v>
      </c>
      <c r="E107">
        <v>3</v>
      </c>
      <c r="F107">
        <v>2</v>
      </c>
      <c r="G107" t="s">
        <v>185</v>
      </c>
      <c r="H107" t="s">
        <v>280</v>
      </c>
      <c r="I107" t="s">
        <v>47</v>
      </c>
      <c r="J107" t="s">
        <v>256</v>
      </c>
    </row>
    <row r="108" spans="1:10">
      <c r="A108">
        <v>1172</v>
      </c>
      <c r="B108">
        <v>46112</v>
      </c>
      <c r="C108" t="s">
        <v>183</v>
      </c>
      <c r="D108" t="s">
        <v>198</v>
      </c>
      <c r="E108">
        <v>0</v>
      </c>
      <c r="F108">
        <v>1</v>
      </c>
      <c r="G108" t="s">
        <v>185</v>
      </c>
      <c r="H108" t="s">
        <v>279</v>
      </c>
      <c r="I108" t="s">
        <v>183</v>
      </c>
      <c r="J108" t="s">
        <v>256</v>
      </c>
    </row>
    <row r="109" spans="1:10">
      <c r="A109">
        <v>1173</v>
      </c>
      <c r="B109">
        <v>46112</v>
      </c>
      <c r="C109" t="s">
        <v>181</v>
      </c>
      <c r="D109" t="s">
        <v>184</v>
      </c>
      <c r="E109">
        <v>2</v>
      </c>
      <c r="F109">
        <v>2</v>
      </c>
      <c r="G109" t="s">
        <v>185</v>
      </c>
      <c r="H109" t="s">
        <v>301</v>
      </c>
      <c r="I109" t="s">
        <v>181</v>
      </c>
      <c r="J109" t="s">
        <v>256</v>
      </c>
    </row>
    <row r="110" spans="1:10">
      <c r="A110">
        <v>1175</v>
      </c>
      <c r="B110">
        <v>46112</v>
      </c>
      <c r="C110" t="s">
        <v>33</v>
      </c>
      <c r="D110" t="s">
        <v>43</v>
      </c>
      <c r="E110">
        <v>5</v>
      </c>
      <c r="F110">
        <v>1</v>
      </c>
      <c r="G110" t="s">
        <v>197</v>
      </c>
      <c r="H110" t="s">
        <v>334</v>
      </c>
      <c r="I110" t="s">
        <v>33</v>
      </c>
      <c r="J110" t="s">
        <v>256</v>
      </c>
    </row>
    <row r="111" spans="1:10">
      <c r="A111">
        <v>1182</v>
      </c>
      <c r="B111">
        <v>46164</v>
      </c>
      <c r="C111" t="s">
        <v>20</v>
      </c>
      <c r="D111" t="s">
        <v>70</v>
      </c>
      <c r="E111">
        <v>2</v>
      </c>
      <c r="F111">
        <v>0</v>
      </c>
      <c r="G111" t="s">
        <v>172</v>
      </c>
      <c r="H111" t="s">
        <v>335</v>
      </c>
      <c r="I111" t="s">
        <v>20</v>
      </c>
      <c r="J111" t="s">
        <v>256</v>
      </c>
    </row>
    <row r="112" spans="1:10">
      <c r="A112">
        <v>1183</v>
      </c>
      <c r="B112">
        <v>46168</v>
      </c>
      <c r="C112" t="s">
        <v>36</v>
      </c>
      <c r="D112" t="s">
        <v>201</v>
      </c>
      <c r="E112">
        <v>5</v>
      </c>
      <c r="F112">
        <v>0</v>
      </c>
      <c r="G112" t="s">
        <v>172</v>
      </c>
      <c r="H112" t="s">
        <v>336</v>
      </c>
      <c r="I112" t="s">
        <v>36</v>
      </c>
      <c r="J112" t="s">
        <v>256</v>
      </c>
    </row>
    <row r="113" spans="1:10">
      <c r="A113">
        <v>1186</v>
      </c>
      <c r="B113">
        <v>46170</v>
      </c>
      <c r="C113" t="s">
        <v>186</v>
      </c>
      <c r="D113" t="s">
        <v>37</v>
      </c>
      <c r="E113">
        <v>1</v>
      </c>
      <c r="F113">
        <v>0</v>
      </c>
      <c r="G113" t="s">
        <v>172</v>
      </c>
      <c r="H113" t="s">
        <v>337</v>
      </c>
      <c r="I113" t="s">
        <v>186</v>
      </c>
      <c r="J113" t="s">
        <v>256</v>
      </c>
    </row>
    <row r="114" spans="1:10">
      <c r="A114">
        <v>1187</v>
      </c>
      <c r="B114">
        <v>46170</v>
      </c>
      <c r="C114" t="s">
        <v>58</v>
      </c>
      <c r="D114" t="s">
        <v>227</v>
      </c>
      <c r="E114">
        <v>1</v>
      </c>
      <c r="F114">
        <v>0</v>
      </c>
      <c r="G114" t="s">
        <v>172</v>
      </c>
      <c r="H114" t="s">
        <v>338</v>
      </c>
      <c r="I114" t="s">
        <v>58</v>
      </c>
      <c r="J114" t="s">
        <v>256</v>
      </c>
    </row>
    <row r="115" spans="1:10">
      <c r="A115">
        <v>1188</v>
      </c>
      <c r="B115">
        <v>46171</v>
      </c>
      <c r="C115" t="s">
        <v>230</v>
      </c>
      <c r="D115" t="s">
        <v>62</v>
      </c>
      <c r="E115">
        <v>0</v>
      </c>
      <c r="F115">
        <v>1</v>
      </c>
      <c r="G115" t="s">
        <v>172</v>
      </c>
      <c r="H115" t="s">
        <v>339</v>
      </c>
      <c r="I115" t="s">
        <v>52</v>
      </c>
      <c r="J115" t="s">
        <v>254</v>
      </c>
    </row>
    <row r="116" spans="1:10">
      <c r="A116">
        <v>1189</v>
      </c>
      <c r="B116">
        <v>46171</v>
      </c>
      <c r="C116" t="s">
        <v>26</v>
      </c>
      <c r="D116" t="s">
        <v>190</v>
      </c>
      <c r="E116">
        <v>0</v>
      </c>
      <c r="F116">
        <v>0</v>
      </c>
      <c r="G116" t="s">
        <v>172</v>
      </c>
      <c r="H116" t="s">
        <v>340</v>
      </c>
      <c r="I116" t="s">
        <v>26</v>
      </c>
      <c r="J116" t="s">
        <v>256</v>
      </c>
    </row>
    <row r="117" spans="1:10">
      <c r="A117">
        <v>1190</v>
      </c>
      <c r="B117">
        <v>46171</v>
      </c>
      <c r="C117" t="s">
        <v>221</v>
      </c>
      <c r="D117" t="s">
        <v>222</v>
      </c>
      <c r="E117">
        <v>3</v>
      </c>
      <c r="F117">
        <v>1</v>
      </c>
      <c r="G117" t="s">
        <v>172</v>
      </c>
      <c r="H117" t="s">
        <v>341</v>
      </c>
      <c r="I117" t="s">
        <v>198</v>
      </c>
      <c r="J117" t="s">
        <v>254</v>
      </c>
    </row>
    <row r="118" spans="1:10">
      <c r="A118">
        <v>1191</v>
      </c>
      <c r="B118">
        <v>46171</v>
      </c>
      <c r="C118" t="s">
        <v>21</v>
      </c>
      <c r="D118" t="s">
        <v>174</v>
      </c>
      <c r="E118">
        <v>0</v>
      </c>
      <c r="F118">
        <v>0</v>
      </c>
      <c r="G118" t="s">
        <v>172</v>
      </c>
      <c r="H118" t="s">
        <v>342</v>
      </c>
      <c r="I118" t="s">
        <v>21</v>
      </c>
      <c r="J118" t="s">
        <v>256</v>
      </c>
    </row>
    <row r="119" spans="1:10">
      <c r="A119">
        <v>1192</v>
      </c>
      <c r="B119">
        <v>46172</v>
      </c>
      <c r="C119" t="s">
        <v>41</v>
      </c>
      <c r="D119" t="s">
        <v>50</v>
      </c>
      <c r="E119">
        <v>2</v>
      </c>
      <c r="F119">
        <v>1</v>
      </c>
      <c r="G119" t="s">
        <v>172</v>
      </c>
      <c r="H119" t="s">
        <v>275</v>
      </c>
      <c r="I119" t="s">
        <v>193</v>
      </c>
      <c r="J119" t="s">
        <v>254</v>
      </c>
    </row>
    <row r="120" spans="1:10">
      <c r="A120">
        <v>1193</v>
      </c>
      <c r="B120">
        <v>46172</v>
      </c>
      <c r="C120" t="s">
        <v>177</v>
      </c>
      <c r="D120" t="s">
        <v>179</v>
      </c>
      <c r="E120">
        <v>5</v>
      </c>
      <c r="F120">
        <v>0</v>
      </c>
      <c r="G120" t="s">
        <v>172</v>
      </c>
      <c r="H120" t="s">
        <v>343</v>
      </c>
      <c r="I120" t="s">
        <v>193</v>
      </c>
      <c r="J120" t="s">
        <v>254</v>
      </c>
    </row>
    <row r="121" spans="1:10">
      <c r="A121">
        <v>1194</v>
      </c>
      <c r="B121">
        <v>46172</v>
      </c>
      <c r="C121" t="s">
        <v>20</v>
      </c>
      <c r="D121" t="s">
        <v>33</v>
      </c>
      <c r="E121">
        <v>1</v>
      </c>
      <c r="F121">
        <v>0</v>
      </c>
      <c r="G121" t="s">
        <v>172</v>
      </c>
      <c r="H121" t="s">
        <v>344</v>
      </c>
      <c r="I121" t="s">
        <v>193</v>
      </c>
      <c r="J121" t="s">
        <v>254</v>
      </c>
    </row>
    <row r="122" spans="1:10">
      <c r="A122">
        <v>1195</v>
      </c>
      <c r="B122">
        <v>46172</v>
      </c>
      <c r="C122" t="s">
        <v>32</v>
      </c>
      <c r="D122" t="s">
        <v>43</v>
      </c>
      <c r="E122">
        <v>4</v>
      </c>
      <c r="F122">
        <v>1</v>
      </c>
      <c r="G122" t="s">
        <v>172</v>
      </c>
      <c r="H122" t="s">
        <v>281</v>
      </c>
      <c r="I122" t="s">
        <v>32</v>
      </c>
      <c r="J122" t="s">
        <v>256</v>
      </c>
    </row>
    <row r="123" spans="1:10">
      <c r="A123">
        <v>1198</v>
      </c>
      <c r="B123">
        <v>46173</v>
      </c>
      <c r="C123" t="s">
        <v>35</v>
      </c>
      <c r="D123" t="s">
        <v>71</v>
      </c>
      <c r="E123">
        <v>6</v>
      </c>
      <c r="F123">
        <v>2</v>
      </c>
      <c r="G123" t="s">
        <v>172</v>
      </c>
      <c r="H123" t="s">
        <v>345</v>
      </c>
      <c r="I123" t="s">
        <v>35</v>
      </c>
      <c r="J123" t="s">
        <v>256</v>
      </c>
    </row>
    <row r="124" spans="1:10">
      <c r="A124">
        <v>1199</v>
      </c>
      <c r="B124">
        <v>46173</v>
      </c>
      <c r="C124" t="s">
        <v>217</v>
      </c>
      <c r="D124" t="s">
        <v>170</v>
      </c>
      <c r="E124">
        <v>3</v>
      </c>
      <c r="F124">
        <v>0</v>
      </c>
      <c r="G124" t="s">
        <v>172</v>
      </c>
      <c r="H124" t="s">
        <v>346</v>
      </c>
      <c r="I124" t="s">
        <v>75</v>
      </c>
      <c r="J124" t="s">
        <v>254</v>
      </c>
    </row>
    <row r="125" spans="1:10">
      <c r="A125">
        <v>1200</v>
      </c>
      <c r="B125">
        <v>46173</v>
      </c>
      <c r="C125" t="s">
        <v>181</v>
      </c>
      <c r="D125" t="s">
        <v>183</v>
      </c>
      <c r="E125">
        <v>2</v>
      </c>
      <c r="F125">
        <v>1</v>
      </c>
      <c r="G125" t="s">
        <v>172</v>
      </c>
      <c r="H125" t="s">
        <v>301</v>
      </c>
      <c r="I125" t="s">
        <v>181</v>
      </c>
      <c r="J125" t="s">
        <v>256</v>
      </c>
    </row>
    <row r="126" spans="1:10">
      <c r="A126">
        <v>1201</v>
      </c>
      <c r="B126">
        <v>46173</v>
      </c>
      <c r="C126" t="s">
        <v>42</v>
      </c>
      <c r="D126" t="s">
        <v>206</v>
      </c>
      <c r="E126">
        <v>4</v>
      </c>
      <c r="F126">
        <v>0</v>
      </c>
      <c r="G126" t="s">
        <v>172</v>
      </c>
      <c r="H126" t="s">
        <v>347</v>
      </c>
      <c r="I126" t="s">
        <v>42</v>
      </c>
      <c r="J126" t="s">
        <v>256</v>
      </c>
    </row>
    <row r="127" spans="1:10">
      <c r="A127">
        <v>1204</v>
      </c>
      <c r="B127">
        <v>46173</v>
      </c>
      <c r="C127" t="s">
        <v>38</v>
      </c>
      <c r="D127" t="s">
        <v>68</v>
      </c>
      <c r="E127">
        <v>4</v>
      </c>
      <c r="F127">
        <v>1</v>
      </c>
      <c r="G127" t="s">
        <v>172</v>
      </c>
      <c r="H127" t="s">
        <v>348</v>
      </c>
      <c r="I127" t="s">
        <v>38</v>
      </c>
      <c r="J127" t="s">
        <v>256</v>
      </c>
    </row>
    <row r="128" spans="1:10">
      <c r="A128">
        <v>1205</v>
      </c>
      <c r="B128">
        <v>46173</v>
      </c>
      <c r="C128" t="s">
        <v>193</v>
      </c>
      <c r="D128" t="s">
        <v>61</v>
      </c>
      <c r="E128">
        <v>3</v>
      </c>
      <c r="F128">
        <v>2</v>
      </c>
      <c r="G128" t="s">
        <v>172</v>
      </c>
      <c r="H128" t="s">
        <v>349</v>
      </c>
      <c r="I128" t="s">
        <v>193</v>
      </c>
      <c r="J128" t="s">
        <v>256</v>
      </c>
    </row>
    <row r="129" spans="1:10">
      <c r="A129">
        <v>1206</v>
      </c>
      <c r="B129">
        <v>46173</v>
      </c>
      <c r="C129" t="s">
        <v>46</v>
      </c>
      <c r="D129" t="s">
        <v>188</v>
      </c>
      <c r="E129">
        <v>1</v>
      </c>
      <c r="F129">
        <v>0</v>
      </c>
      <c r="G129" t="s">
        <v>172</v>
      </c>
      <c r="H129" t="s">
        <v>271</v>
      </c>
      <c r="I129" t="s">
        <v>46</v>
      </c>
      <c r="J129" t="s">
        <v>256</v>
      </c>
    </row>
    <row r="130" spans="1:10">
      <c r="A130">
        <v>1207</v>
      </c>
      <c r="B130">
        <v>46174</v>
      </c>
      <c r="C130" t="s">
        <v>67</v>
      </c>
      <c r="D130" t="s">
        <v>48</v>
      </c>
      <c r="E130">
        <v>1</v>
      </c>
      <c r="F130">
        <v>0</v>
      </c>
      <c r="G130" t="s">
        <v>172</v>
      </c>
      <c r="H130" t="s">
        <v>283</v>
      </c>
      <c r="I130" t="s">
        <v>67</v>
      </c>
      <c r="J130" t="s">
        <v>256</v>
      </c>
    </row>
    <row r="131" spans="1:10">
      <c r="A131">
        <v>1209</v>
      </c>
      <c r="B131">
        <v>46174</v>
      </c>
      <c r="C131" t="s">
        <v>25</v>
      </c>
      <c r="D131" t="s">
        <v>77</v>
      </c>
      <c r="E131">
        <v>2</v>
      </c>
      <c r="F131">
        <v>0</v>
      </c>
      <c r="G131" t="s">
        <v>172</v>
      </c>
      <c r="H131" t="s">
        <v>350</v>
      </c>
      <c r="I131" t="s">
        <v>25</v>
      </c>
      <c r="J131" t="s">
        <v>256</v>
      </c>
    </row>
    <row r="132" spans="1:10">
      <c r="A132">
        <v>1210</v>
      </c>
      <c r="B132">
        <v>46174</v>
      </c>
      <c r="C132" t="s">
        <v>78</v>
      </c>
      <c r="D132" t="s">
        <v>223</v>
      </c>
      <c r="E132">
        <v>3</v>
      </c>
      <c r="F132">
        <v>1</v>
      </c>
      <c r="G132" t="s">
        <v>172</v>
      </c>
      <c r="H132" t="s">
        <v>351</v>
      </c>
      <c r="I132" t="s">
        <v>78</v>
      </c>
      <c r="J132" t="s">
        <v>256</v>
      </c>
    </row>
    <row r="133" spans="1:10">
      <c r="A133">
        <v>1211</v>
      </c>
      <c r="B133">
        <v>46174</v>
      </c>
      <c r="C133" t="s">
        <v>63</v>
      </c>
      <c r="D133" t="s">
        <v>47</v>
      </c>
      <c r="E133">
        <v>3</v>
      </c>
      <c r="F133">
        <v>1</v>
      </c>
      <c r="G133" t="s">
        <v>172</v>
      </c>
      <c r="H133" t="s">
        <v>327</v>
      </c>
      <c r="I133" t="s">
        <v>63</v>
      </c>
      <c r="J133" t="s">
        <v>256</v>
      </c>
    </row>
    <row r="134" spans="1:10">
      <c r="A134">
        <v>1213</v>
      </c>
      <c r="B134">
        <v>46174</v>
      </c>
      <c r="C134" t="s">
        <v>198</v>
      </c>
      <c r="D134" t="s">
        <v>190</v>
      </c>
      <c r="E134">
        <v>4</v>
      </c>
      <c r="F134">
        <v>0</v>
      </c>
      <c r="G134" t="s">
        <v>172</v>
      </c>
      <c r="H134" t="s">
        <v>300</v>
      </c>
      <c r="I134" t="s">
        <v>198</v>
      </c>
      <c r="J134" t="s">
        <v>256</v>
      </c>
    </row>
    <row r="135" spans="1:10">
      <c r="A135">
        <v>1215</v>
      </c>
      <c r="B135">
        <v>46175</v>
      </c>
      <c r="C135" t="s">
        <v>73</v>
      </c>
      <c r="D135" t="s">
        <v>57</v>
      </c>
      <c r="E135">
        <v>0</v>
      </c>
      <c r="F135">
        <v>2</v>
      </c>
      <c r="G135" t="s">
        <v>172</v>
      </c>
      <c r="H135" t="s">
        <v>352</v>
      </c>
      <c r="I135" t="s">
        <v>73</v>
      </c>
      <c r="J135" t="s">
        <v>256</v>
      </c>
    </row>
    <row r="136" spans="1:10">
      <c r="A136">
        <v>1217</v>
      </c>
      <c r="B136">
        <v>46175</v>
      </c>
      <c r="C136" t="s">
        <v>31</v>
      </c>
      <c r="D136" t="s">
        <v>56</v>
      </c>
      <c r="E136">
        <v>4</v>
      </c>
      <c r="F136">
        <v>0</v>
      </c>
      <c r="G136" t="s">
        <v>172</v>
      </c>
      <c r="H136" t="s">
        <v>273</v>
      </c>
      <c r="I136" t="s">
        <v>193</v>
      </c>
      <c r="J136" t="s">
        <v>254</v>
      </c>
    </row>
    <row r="137" spans="1:10">
      <c r="A137">
        <v>1218</v>
      </c>
      <c r="B137">
        <v>46175</v>
      </c>
      <c r="C137" t="s">
        <v>36</v>
      </c>
      <c r="D137" t="s">
        <v>200</v>
      </c>
      <c r="E137">
        <v>4</v>
      </c>
      <c r="F137">
        <v>0</v>
      </c>
      <c r="G137" t="s">
        <v>172</v>
      </c>
      <c r="H137" t="s">
        <v>291</v>
      </c>
      <c r="I137" t="s">
        <v>36</v>
      </c>
      <c r="J137" t="s">
        <v>256</v>
      </c>
    </row>
    <row r="138" spans="1:10">
      <c r="A138">
        <v>1219</v>
      </c>
      <c r="B138">
        <v>46175</v>
      </c>
      <c r="C138" t="s">
        <v>192</v>
      </c>
      <c r="D138" t="s">
        <v>70</v>
      </c>
      <c r="E138">
        <v>1</v>
      </c>
      <c r="F138">
        <v>1</v>
      </c>
      <c r="G138" t="s">
        <v>172</v>
      </c>
      <c r="H138" t="s">
        <v>298</v>
      </c>
      <c r="I138" t="s">
        <v>192</v>
      </c>
      <c r="J138" t="s">
        <v>256</v>
      </c>
    </row>
    <row r="139" spans="1:10">
      <c r="A139">
        <v>1225</v>
      </c>
      <c r="B139">
        <v>46176</v>
      </c>
      <c r="C139" t="s">
        <v>240</v>
      </c>
      <c r="D139" t="s">
        <v>184</v>
      </c>
      <c r="E139">
        <v>0</v>
      </c>
      <c r="F139">
        <v>0</v>
      </c>
      <c r="G139" t="s">
        <v>172</v>
      </c>
      <c r="H139" t="s">
        <v>284</v>
      </c>
      <c r="I139" t="s">
        <v>57</v>
      </c>
      <c r="J139" t="s">
        <v>254</v>
      </c>
    </row>
    <row r="140" spans="1:10">
      <c r="A140">
        <v>1227</v>
      </c>
      <c r="B140">
        <v>46176</v>
      </c>
      <c r="C140" t="s">
        <v>177</v>
      </c>
      <c r="D140" t="s">
        <v>178</v>
      </c>
      <c r="E140">
        <v>1</v>
      </c>
      <c r="F140">
        <v>0</v>
      </c>
      <c r="G140" t="s">
        <v>172</v>
      </c>
      <c r="H140" t="s">
        <v>343</v>
      </c>
      <c r="I140" t="s">
        <v>193</v>
      </c>
      <c r="J140" t="s">
        <v>254</v>
      </c>
    </row>
    <row r="141" spans="1:10">
      <c r="A141">
        <v>1229</v>
      </c>
      <c r="B141">
        <v>46176</v>
      </c>
      <c r="C141" t="s">
        <v>45</v>
      </c>
      <c r="D141" t="s">
        <v>66</v>
      </c>
      <c r="E141">
        <v>0</v>
      </c>
      <c r="F141">
        <v>1</v>
      </c>
      <c r="G141" t="s">
        <v>172</v>
      </c>
      <c r="H141" t="s">
        <v>353</v>
      </c>
      <c r="I141" t="s">
        <v>45</v>
      </c>
      <c r="J141" t="s">
        <v>256</v>
      </c>
    </row>
    <row r="142" spans="1:10">
      <c r="A142">
        <v>1230</v>
      </c>
      <c r="B142">
        <v>46176</v>
      </c>
      <c r="C142" t="s">
        <v>71</v>
      </c>
      <c r="D142" t="s">
        <v>236</v>
      </c>
      <c r="E142">
        <v>4</v>
      </c>
      <c r="F142">
        <v>2</v>
      </c>
      <c r="G142" t="s">
        <v>172</v>
      </c>
      <c r="H142" t="s">
        <v>354</v>
      </c>
      <c r="I142" t="s">
        <v>71</v>
      </c>
      <c r="J142" t="s">
        <v>256</v>
      </c>
    </row>
    <row r="143" spans="1:10">
      <c r="A143">
        <v>1238</v>
      </c>
      <c r="B143">
        <v>46177</v>
      </c>
      <c r="C143" t="s">
        <v>60</v>
      </c>
      <c r="D143" t="s">
        <v>180</v>
      </c>
      <c r="E143">
        <v>1</v>
      </c>
      <c r="F143">
        <v>2</v>
      </c>
      <c r="G143" t="s">
        <v>172</v>
      </c>
      <c r="H143" t="s">
        <v>355</v>
      </c>
      <c r="I143" t="s">
        <v>60</v>
      </c>
      <c r="J143" t="s">
        <v>256</v>
      </c>
    </row>
    <row r="144" spans="1:10">
      <c r="A144">
        <v>1239</v>
      </c>
      <c r="B144">
        <v>46177</v>
      </c>
      <c r="C144" t="s">
        <v>182</v>
      </c>
      <c r="D144" t="s">
        <v>181</v>
      </c>
      <c r="E144">
        <v>1</v>
      </c>
      <c r="F144">
        <v>5</v>
      </c>
      <c r="G144" t="s">
        <v>172</v>
      </c>
      <c r="H144" t="s">
        <v>275</v>
      </c>
      <c r="I144" t="s">
        <v>193</v>
      </c>
      <c r="J144" t="s">
        <v>254</v>
      </c>
    </row>
    <row r="145" spans="1:10">
      <c r="A145">
        <v>1240</v>
      </c>
      <c r="B145">
        <v>46177</v>
      </c>
      <c r="C145" t="s">
        <v>221</v>
      </c>
      <c r="D145" t="s">
        <v>215</v>
      </c>
      <c r="E145">
        <v>2</v>
      </c>
      <c r="F145">
        <v>0</v>
      </c>
      <c r="G145" t="s">
        <v>172</v>
      </c>
      <c r="H145" t="s">
        <v>311</v>
      </c>
      <c r="I145" t="s">
        <v>198</v>
      </c>
      <c r="J145" t="s">
        <v>254</v>
      </c>
    </row>
    <row r="146" spans="1:10">
      <c r="A146">
        <v>1242</v>
      </c>
      <c r="B146">
        <v>46177</v>
      </c>
      <c r="C146" t="s">
        <v>20</v>
      </c>
      <c r="D146" t="s">
        <v>170</v>
      </c>
      <c r="E146">
        <v>5</v>
      </c>
      <c r="F146">
        <v>1</v>
      </c>
      <c r="G146" t="s">
        <v>172</v>
      </c>
      <c r="H146" t="s">
        <v>356</v>
      </c>
      <c r="I146" t="s">
        <v>20</v>
      </c>
      <c r="J146" t="s">
        <v>256</v>
      </c>
    </row>
    <row r="147" spans="1:10">
      <c r="A147">
        <v>1245</v>
      </c>
      <c r="B147">
        <v>46177</v>
      </c>
      <c r="C147" t="s">
        <v>52</v>
      </c>
      <c r="D147" t="s">
        <v>62</v>
      </c>
      <c r="E147">
        <v>1</v>
      </c>
      <c r="F147">
        <v>1</v>
      </c>
      <c r="G147" t="s">
        <v>172</v>
      </c>
      <c r="H147" t="s">
        <v>357</v>
      </c>
      <c r="I147" t="s">
        <v>52</v>
      </c>
      <c r="J147" t="s">
        <v>256</v>
      </c>
    </row>
    <row r="148" spans="1:10">
      <c r="A148">
        <v>1246</v>
      </c>
      <c r="B148">
        <v>46177</v>
      </c>
      <c r="C148" t="s">
        <v>47</v>
      </c>
      <c r="D148" t="s">
        <v>194</v>
      </c>
      <c r="E148">
        <v>2</v>
      </c>
      <c r="F148">
        <v>2</v>
      </c>
      <c r="G148" t="s">
        <v>172</v>
      </c>
      <c r="H148" t="s">
        <v>280</v>
      </c>
      <c r="I148" t="s">
        <v>47</v>
      </c>
      <c r="J148" t="s">
        <v>256</v>
      </c>
    </row>
    <row r="149" spans="1:10">
      <c r="A149">
        <v>1250</v>
      </c>
      <c r="B149">
        <v>46178</v>
      </c>
      <c r="C149" t="s">
        <v>25</v>
      </c>
      <c r="D149" t="s">
        <v>186</v>
      </c>
      <c r="E149">
        <v>1</v>
      </c>
      <c r="F149">
        <v>1</v>
      </c>
      <c r="G149" t="s">
        <v>172</v>
      </c>
      <c r="H149" t="s">
        <v>358</v>
      </c>
      <c r="I149" t="s">
        <v>25</v>
      </c>
      <c r="J149" t="s">
        <v>256</v>
      </c>
    </row>
    <row r="150" spans="1:10">
      <c r="A150">
        <v>1252</v>
      </c>
      <c r="B150">
        <v>46178</v>
      </c>
      <c r="C150" t="s">
        <v>31</v>
      </c>
      <c r="D150" t="s">
        <v>195</v>
      </c>
      <c r="E150">
        <v>1</v>
      </c>
      <c r="F150">
        <v>2</v>
      </c>
      <c r="G150" t="s">
        <v>172</v>
      </c>
      <c r="H150" t="s">
        <v>359</v>
      </c>
      <c r="I150" t="s">
        <v>193</v>
      </c>
      <c r="J150" t="s">
        <v>254</v>
      </c>
    </row>
    <row r="151" spans="1:10">
      <c r="A151">
        <v>1257</v>
      </c>
      <c r="B151">
        <v>46178</v>
      </c>
      <c r="C151" t="s">
        <v>29</v>
      </c>
      <c r="D151" t="s">
        <v>174</v>
      </c>
      <c r="E151">
        <v>4</v>
      </c>
      <c r="F151">
        <v>0</v>
      </c>
      <c r="G151" t="s">
        <v>172</v>
      </c>
      <c r="H151" t="s">
        <v>360</v>
      </c>
      <c r="I151" t="s">
        <v>29</v>
      </c>
      <c r="J151" t="s">
        <v>256</v>
      </c>
    </row>
    <row r="152" spans="1:10">
      <c r="A152">
        <v>1266</v>
      </c>
      <c r="B152">
        <v>46178</v>
      </c>
      <c r="C152" t="s">
        <v>216</v>
      </c>
      <c r="D152" t="s">
        <v>50</v>
      </c>
      <c r="E152">
        <v>0</v>
      </c>
      <c r="F152">
        <v>3</v>
      </c>
      <c r="G152" t="s">
        <v>172</v>
      </c>
      <c r="H152" t="s">
        <v>361</v>
      </c>
      <c r="I152" t="s">
        <v>193</v>
      </c>
      <c r="J152" t="s">
        <v>254</v>
      </c>
    </row>
    <row r="153" spans="1:10">
      <c r="A153">
        <v>1272</v>
      </c>
      <c r="B153">
        <v>46179</v>
      </c>
      <c r="C153" t="s">
        <v>65</v>
      </c>
      <c r="D153" t="s">
        <v>231</v>
      </c>
      <c r="E153">
        <v>2</v>
      </c>
      <c r="F153">
        <v>0</v>
      </c>
      <c r="G153" t="s">
        <v>172</v>
      </c>
      <c r="H153" t="s">
        <v>362</v>
      </c>
      <c r="I153" t="s">
        <v>193</v>
      </c>
      <c r="J153" t="s">
        <v>254</v>
      </c>
    </row>
    <row r="154" spans="1:10">
      <c r="A154">
        <v>1274</v>
      </c>
      <c r="B154">
        <v>46179</v>
      </c>
      <c r="C154" t="s">
        <v>33</v>
      </c>
      <c r="D154" t="s">
        <v>38</v>
      </c>
      <c r="E154">
        <v>1</v>
      </c>
      <c r="F154">
        <v>1</v>
      </c>
      <c r="G154" t="s">
        <v>172</v>
      </c>
      <c r="H154" t="s">
        <v>363</v>
      </c>
      <c r="I154" t="s">
        <v>193</v>
      </c>
      <c r="J154" t="s">
        <v>254</v>
      </c>
    </row>
    <row r="155" spans="1:10">
      <c r="A155">
        <v>1275</v>
      </c>
      <c r="B155">
        <v>46179</v>
      </c>
      <c r="C155" t="s">
        <v>57</v>
      </c>
      <c r="D155" t="s">
        <v>48</v>
      </c>
      <c r="E155">
        <v>5</v>
      </c>
      <c r="F155">
        <v>0</v>
      </c>
      <c r="G155" t="s">
        <v>172</v>
      </c>
      <c r="H155" t="s">
        <v>364</v>
      </c>
      <c r="I155" t="s">
        <v>57</v>
      </c>
      <c r="J155" t="s">
        <v>256</v>
      </c>
    </row>
    <row r="156" spans="1:10">
      <c r="A156">
        <v>1276</v>
      </c>
      <c r="B156">
        <v>46179</v>
      </c>
      <c r="C156" t="s">
        <v>218</v>
      </c>
      <c r="D156" t="s">
        <v>217</v>
      </c>
      <c r="E156">
        <v>3</v>
      </c>
      <c r="F156">
        <v>0</v>
      </c>
      <c r="G156" t="s">
        <v>172</v>
      </c>
      <c r="H156" t="s">
        <v>365</v>
      </c>
      <c r="I156" t="s">
        <v>193</v>
      </c>
      <c r="J156" t="s">
        <v>254</v>
      </c>
    </row>
    <row r="157" spans="1:10">
      <c r="A157">
        <v>1277</v>
      </c>
      <c r="B157">
        <v>46179</v>
      </c>
      <c r="C157" t="s">
        <v>196</v>
      </c>
      <c r="D157" t="s">
        <v>32</v>
      </c>
      <c r="E157">
        <v>0</v>
      </c>
      <c r="F157">
        <v>4</v>
      </c>
      <c r="G157" t="s">
        <v>172</v>
      </c>
      <c r="H157" t="s">
        <v>275</v>
      </c>
      <c r="I157" t="s">
        <v>193</v>
      </c>
      <c r="J157" t="s">
        <v>254</v>
      </c>
    </row>
    <row r="158" spans="1:10">
      <c r="A158">
        <v>1278</v>
      </c>
      <c r="B158">
        <v>46179</v>
      </c>
      <c r="C158" t="s">
        <v>35</v>
      </c>
      <c r="D158" t="s">
        <v>58</v>
      </c>
      <c r="E158">
        <v>2</v>
      </c>
      <c r="F158">
        <v>1</v>
      </c>
      <c r="G158" t="s">
        <v>172</v>
      </c>
      <c r="H158" t="s">
        <v>366</v>
      </c>
      <c r="I158" t="s">
        <v>193</v>
      </c>
      <c r="J158" t="s">
        <v>254</v>
      </c>
    </row>
    <row r="159" spans="1:10">
      <c r="A159">
        <v>1279</v>
      </c>
      <c r="B159">
        <v>46179</v>
      </c>
      <c r="C159" t="s">
        <v>43</v>
      </c>
      <c r="D159" t="s">
        <v>208</v>
      </c>
      <c r="E159">
        <v>4</v>
      </c>
      <c r="F159">
        <v>0</v>
      </c>
      <c r="G159" t="s">
        <v>172</v>
      </c>
      <c r="H159" t="s">
        <v>286</v>
      </c>
      <c r="I159" t="s">
        <v>43</v>
      </c>
      <c r="J159" t="s">
        <v>256</v>
      </c>
    </row>
    <row r="160" spans="1:10">
      <c r="A160">
        <v>1280</v>
      </c>
      <c r="B160">
        <v>46179</v>
      </c>
      <c r="C160" t="s">
        <v>72</v>
      </c>
      <c r="D160" t="s">
        <v>56</v>
      </c>
      <c r="E160">
        <v>1</v>
      </c>
      <c r="F160">
        <v>0</v>
      </c>
      <c r="G160" t="s">
        <v>172</v>
      </c>
      <c r="H160" t="s">
        <v>278</v>
      </c>
      <c r="I160" t="s">
        <v>193</v>
      </c>
      <c r="J160" t="s">
        <v>254</v>
      </c>
    </row>
    <row r="161" spans="1:10">
      <c r="A161">
        <v>1283</v>
      </c>
      <c r="B161">
        <v>46179</v>
      </c>
      <c r="C161" t="s">
        <v>173</v>
      </c>
      <c r="D161" t="s">
        <v>21</v>
      </c>
      <c r="E161">
        <v>0</v>
      </c>
      <c r="F161">
        <v>1</v>
      </c>
      <c r="G161" t="s">
        <v>172</v>
      </c>
      <c r="H161" t="s">
        <v>367</v>
      </c>
      <c r="I161" t="s">
        <v>20</v>
      </c>
      <c r="J161" t="s">
        <v>254</v>
      </c>
    </row>
    <row r="162" spans="1:10">
      <c r="A162">
        <v>1285</v>
      </c>
      <c r="B162">
        <v>46179</v>
      </c>
      <c r="C162" t="s">
        <v>71</v>
      </c>
      <c r="D162" t="s">
        <v>26</v>
      </c>
      <c r="E162">
        <v>1</v>
      </c>
      <c r="F162">
        <v>1</v>
      </c>
      <c r="G162" t="s">
        <v>172</v>
      </c>
      <c r="H162" t="s">
        <v>368</v>
      </c>
      <c r="I162" t="s">
        <v>193</v>
      </c>
      <c r="J162" t="s">
        <v>254</v>
      </c>
    </row>
    <row r="163" spans="1:10">
      <c r="A163">
        <v>1286</v>
      </c>
      <c r="B163">
        <v>46179</v>
      </c>
      <c r="C163" t="s">
        <v>75</v>
      </c>
      <c r="D163" t="s">
        <v>219</v>
      </c>
      <c r="E163">
        <v>2</v>
      </c>
      <c r="F163">
        <v>1</v>
      </c>
      <c r="G163" t="s">
        <v>172</v>
      </c>
      <c r="H163" t="s">
        <v>369</v>
      </c>
      <c r="I163" t="s">
        <v>75</v>
      </c>
      <c r="J163" t="s">
        <v>256</v>
      </c>
    </row>
    <row r="164" spans="1:10">
      <c r="A164">
        <v>1287</v>
      </c>
      <c r="B164">
        <v>46179</v>
      </c>
      <c r="C164" t="s">
        <v>37</v>
      </c>
      <c r="D164" t="s">
        <v>178</v>
      </c>
      <c r="E164">
        <v>0</v>
      </c>
      <c r="F164">
        <v>0</v>
      </c>
      <c r="G164" t="s">
        <v>172</v>
      </c>
      <c r="H164" t="s">
        <v>370</v>
      </c>
      <c r="I164" t="s">
        <v>193</v>
      </c>
      <c r="J164" t="s">
        <v>254</v>
      </c>
    </row>
    <row r="165" spans="1:10">
      <c r="A165">
        <v>1289</v>
      </c>
      <c r="B165">
        <v>46179</v>
      </c>
      <c r="C165" t="s">
        <v>193</v>
      </c>
      <c r="D165" t="s">
        <v>42</v>
      </c>
      <c r="E165">
        <v>1</v>
      </c>
      <c r="F165">
        <v>2</v>
      </c>
      <c r="G165" t="s">
        <v>172</v>
      </c>
      <c r="H165" t="s">
        <v>324</v>
      </c>
      <c r="I165" t="s">
        <v>193</v>
      </c>
      <c r="J165" t="s">
        <v>256</v>
      </c>
    </row>
    <row r="166" spans="1:10">
      <c r="A166">
        <v>1292</v>
      </c>
      <c r="B166">
        <v>46179</v>
      </c>
      <c r="C166" t="s">
        <v>189</v>
      </c>
      <c r="D166" t="s">
        <v>198</v>
      </c>
      <c r="E166">
        <v>1</v>
      </c>
      <c r="F166">
        <v>2</v>
      </c>
      <c r="G166" t="s">
        <v>172</v>
      </c>
      <c r="H166" t="s">
        <v>273</v>
      </c>
      <c r="I166" t="s">
        <v>193</v>
      </c>
      <c r="J166" t="s">
        <v>254</v>
      </c>
    </row>
    <row r="167" spans="1:10">
      <c r="A167">
        <v>1297</v>
      </c>
      <c r="B167">
        <v>46180</v>
      </c>
      <c r="C167" t="s">
        <v>73</v>
      </c>
      <c r="D167" t="s">
        <v>214</v>
      </c>
      <c r="E167">
        <v>2</v>
      </c>
      <c r="F167">
        <v>1</v>
      </c>
      <c r="G167" t="s">
        <v>172</v>
      </c>
      <c r="H167" t="s">
        <v>371</v>
      </c>
      <c r="I167" t="s">
        <v>73</v>
      </c>
      <c r="J167" t="s">
        <v>256</v>
      </c>
    </row>
    <row r="168" spans="1:10">
      <c r="A168">
        <v>1298</v>
      </c>
      <c r="B168">
        <v>46180</v>
      </c>
      <c r="C168" t="s">
        <v>41</v>
      </c>
      <c r="D168" t="s">
        <v>182</v>
      </c>
      <c r="E168">
        <v>3</v>
      </c>
      <c r="F168">
        <v>0</v>
      </c>
      <c r="G168" t="s">
        <v>172</v>
      </c>
      <c r="H168" t="s">
        <v>372</v>
      </c>
      <c r="I168" t="s">
        <v>193</v>
      </c>
      <c r="J168" t="s">
        <v>254</v>
      </c>
    </row>
    <row r="169" spans="1:10">
      <c r="A169">
        <v>1300</v>
      </c>
      <c r="B169">
        <v>46180</v>
      </c>
      <c r="C169" t="s">
        <v>68</v>
      </c>
      <c r="D169" t="s">
        <v>78</v>
      </c>
      <c r="E169">
        <v>0</v>
      </c>
      <c r="F169">
        <v>2</v>
      </c>
      <c r="G169" t="s">
        <v>172</v>
      </c>
      <c r="H169" t="s">
        <v>363</v>
      </c>
      <c r="I169" t="s">
        <v>193</v>
      </c>
      <c r="J169" t="s">
        <v>254</v>
      </c>
    </row>
    <row r="170" spans="1:10">
      <c r="A170">
        <v>1303</v>
      </c>
      <c r="B170">
        <v>46180</v>
      </c>
      <c r="C170" t="s">
        <v>36</v>
      </c>
      <c r="D170" t="s">
        <v>63</v>
      </c>
      <c r="E170">
        <v>1</v>
      </c>
      <c r="F170">
        <v>1</v>
      </c>
      <c r="G170" t="s">
        <v>172</v>
      </c>
      <c r="H170" t="s">
        <v>275</v>
      </c>
      <c r="I170" t="s">
        <v>193</v>
      </c>
      <c r="J170" t="s">
        <v>254</v>
      </c>
    </row>
    <row r="171" spans="1:10">
      <c r="A171">
        <v>1305</v>
      </c>
      <c r="B171">
        <v>46181</v>
      </c>
      <c r="C171" t="s">
        <v>60</v>
      </c>
      <c r="D171" t="s">
        <v>228</v>
      </c>
      <c r="E171">
        <v>3</v>
      </c>
      <c r="F171">
        <v>1</v>
      </c>
      <c r="G171" t="s">
        <v>172</v>
      </c>
      <c r="H171" t="s">
        <v>272</v>
      </c>
      <c r="I171" t="s">
        <v>60</v>
      </c>
      <c r="J171" t="s">
        <v>256</v>
      </c>
    </row>
    <row r="172" spans="1:10">
      <c r="A172">
        <v>1306</v>
      </c>
      <c r="B172">
        <v>46181</v>
      </c>
      <c r="C172" t="s">
        <v>45</v>
      </c>
      <c r="D172" t="s">
        <v>77</v>
      </c>
      <c r="E172">
        <v>2</v>
      </c>
      <c r="F172">
        <v>1</v>
      </c>
      <c r="G172" t="s">
        <v>172</v>
      </c>
      <c r="H172" t="s">
        <v>274</v>
      </c>
      <c r="I172" t="s">
        <v>193</v>
      </c>
      <c r="J172" t="s">
        <v>254</v>
      </c>
    </row>
    <row r="173" spans="1:10">
      <c r="A173">
        <v>1307</v>
      </c>
      <c r="B173">
        <v>46181</v>
      </c>
      <c r="C173" t="s">
        <v>195</v>
      </c>
      <c r="D173" t="s">
        <v>52</v>
      </c>
      <c r="E173">
        <v>1</v>
      </c>
      <c r="F173">
        <v>3</v>
      </c>
      <c r="G173" t="s">
        <v>172</v>
      </c>
      <c r="H173" t="s">
        <v>335</v>
      </c>
      <c r="I173" t="s">
        <v>20</v>
      </c>
      <c r="J173" t="s">
        <v>254</v>
      </c>
    </row>
    <row r="174" spans="1:10">
      <c r="A174">
        <v>1310</v>
      </c>
      <c r="B174">
        <v>46182</v>
      </c>
      <c r="C174" t="s">
        <v>65</v>
      </c>
      <c r="D174" t="s">
        <v>188</v>
      </c>
      <c r="E174">
        <v>3</v>
      </c>
      <c r="F174">
        <v>0</v>
      </c>
      <c r="G174" t="s">
        <v>172</v>
      </c>
      <c r="H174" t="s">
        <v>373</v>
      </c>
      <c r="I174" t="s">
        <v>193</v>
      </c>
      <c r="J174" t="s">
        <v>254</v>
      </c>
    </row>
    <row r="175" spans="1:10">
      <c r="A175">
        <v>1316</v>
      </c>
      <c r="B175">
        <v>46182</v>
      </c>
      <c r="C175" t="s">
        <v>240</v>
      </c>
      <c r="D175" t="s">
        <v>219</v>
      </c>
      <c r="E175">
        <v>1</v>
      </c>
      <c r="F175">
        <v>2</v>
      </c>
      <c r="G175" t="s">
        <v>172</v>
      </c>
      <c r="H175" t="s">
        <v>374</v>
      </c>
      <c r="I175" t="s">
        <v>60</v>
      </c>
      <c r="J175" t="s">
        <v>254</v>
      </c>
    </row>
    <row r="176" spans="1:10">
      <c r="A176">
        <v>1322</v>
      </c>
      <c r="B176">
        <v>46182</v>
      </c>
      <c r="C176" t="s">
        <v>50</v>
      </c>
      <c r="D176" t="s">
        <v>61</v>
      </c>
      <c r="E176">
        <v>0</v>
      </c>
      <c r="F176">
        <v>0</v>
      </c>
      <c r="G176" t="s">
        <v>172</v>
      </c>
      <c r="H176" t="s">
        <v>277</v>
      </c>
      <c r="I176" t="s">
        <v>193</v>
      </c>
      <c r="J176" t="s">
        <v>254</v>
      </c>
    </row>
    <row r="177" spans="1:10">
      <c r="A177">
        <v>1330</v>
      </c>
      <c r="B177">
        <v>46182</v>
      </c>
      <c r="C177" t="s">
        <v>62</v>
      </c>
      <c r="D177" t="s">
        <v>189</v>
      </c>
      <c r="E177">
        <v>0</v>
      </c>
      <c r="F177">
        <v>2</v>
      </c>
      <c r="G177" t="s">
        <v>172</v>
      </c>
      <c r="H177" t="s">
        <v>375</v>
      </c>
      <c r="I177" t="s">
        <v>193</v>
      </c>
      <c r="J177" t="s">
        <v>254</v>
      </c>
    </row>
    <row r="178" spans="1:10">
      <c r="A178">
        <v>1331</v>
      </c>
      <c r="B178">
        <v>46183</v>
      </c>
      <c r="C178" t="s">
        <v>196</v>
      </c>
      <c r="D178" t="s">
        <v>66</v>
      </c>
      <c r="E178">
        <v>0</v>
      </c>
      <c r="F178">
        <v>4</v>
      </c>
      <c r="G178" t="s">
        <v>172</v>
      </c>
      <c r="H178" t="s">
        <v>376</v>
      </c>
      <c r="I178" t="s">
        <v>193</v>
      </c>
      <c r="J178" t="s">
        <v>254</v>
      </c>
    </row>
    <row r="179" spans="1:10">
      <c r="A179">
        <v>1332</v>
      </c>
      <c r="B179">
        <v>46183</v>
      </c>
      <c r="C179" t="s">
        <v>72</v>
      </c>
      <c r="D179" t="s">
        <v>223</v>
      </c>
      <c r="E179">
        <v>3</v>
      </c>
      <c r="F179">
        <v>0</v>
      </c>
      <c r="G179" t="s">
        <v>172</v>
      </c>
      <c r="H179" t="s">
        <v>297</v>
      </c>
      <c r="I179" t="s">
        <v>193</v>
      </c>
      <c r="J179" t="s">
        <v>254</v>
      </c>
    </row>
    <row r="180" spans="1:10">
      <c r="A180">
        <v>1333</v>
      </c>
      <c r="B180">
        <v>46183</v>
      </c>
      <c r="C180" t="s">
        <v>75</v>
      </c>
      <c r="D180" t="s">
        <v>225</v>
      </c>
      <c r="E180">
        <v>2</v>
      </c>
      <c r="F180">
        <v>1</v>
      </c>
      <c r="G180" t="s">
        <v>172</v>
      </c>
      <c r="H180" t="s">
        <v>377</v>
      </c>
      <c r="I180" t="s">
        <v>75</v>
      </c>
      <c r="J180" t="s">
        <v>256</v>
      </c>
    </row>
    <row r="181" spans="1:10">
      <c r="A181">
        <v>1335</v>
      </c>
      <c r="B181">
        <v>46184</v>
      </c>
      <c r="C181" t="s">
        <v>20</v>
      </c>
      <c r="D181" t="s">
        <v>21</v>
      </c>
      <c r="E181">
        <v>2</v>
      </c>
      <c r="F181">
        <v>0</v>
      </c>
      <c r="G181" t="s">
        <v>242</v>
      </c>
      <c r="H181" t="s">
        <v>317</v>
      </c>
      <c r="I181" t="s">
        <v>20</v>
      </c>
      <c r="J181" t="s">
        <v>256</v>
      </c>
    </row>
    <row r="182" spans="1:10">
      <c r="A182">
        <v>1336</v>
      </c>
      <c r="B182">
        <v>46184</v>
      </c>
      <c r="C182" t="s">
        <v>177</v>
      </c>
      <c r="D182" t="s">
        <v>181</v>
      </c>
      <c r="E182">
        <v>2</v>
      </c>
      <c r="F182">
        <v>1</v>
      </c>
      <c r="G182" t="s">
        <v>242</v>
      </c>
      <c r="H182" t="s">
        <v>295</v>
      </c>
      <c r="I182" t="s">
        <v>20</v>
      </c>
      <c r="J182" t="s">
        <v>254</v>
      </c>
    </row>
    <row r="183" spans="1:10">
      <c r="A183">
        <v>1337</v>
      </c>
      <c r="B183">
        <v>46185</v>
      </c>
      <c r="C183" t="s">
        <v>25</v>
      </c>
      <c r="D183" t="s">
        <v>26</v>
      </c>
      <c r="E183">
        <v>1</v>
      </c>
      <c r="F183">
        <v>1</v>
      </c>
      <c r="G183" t="s">
        <v>242</v>
      </c>
      <c r="H183" t="s">
        <v>315</v>
      </c>
      <c r="I183" t="s">
        <v>25</v>
      </c>
      <c r="J183" t="s">
        <v>256</v>
      </c>
    </row>
    <row r="184" spans="1:10">
      <c r="A184">
        <v>1338</v>
      </c>
      <c r="B184">
        <v>46185</v>
      </c>
      <c r="C184" t="s">
        <v>193</v>
      </c>
      <c r="D184" t="s">
        <v>29</v>
      </c>
      <c r="E184">
        <v>4</v>
      </c>
      <c r="F184">
        <v>1</v>
      </c>
      <c r="G184" t="s">
        <v>242</v>
      </c>
      <c r="H184" t="s">
        <v>378</v>
      </c>
      <c r="I184" t="s">
        <v>193</v>
      </c>
      <c r="J184" t="s">
        <v>256</v>
      </c>
    </row>
    <row r="185" spans="1:10">
      <c r="A185">
        <v>1339</v>
      </c>
      <c r="B185">
        <v>46186</v>
      </c>
      <c r="C185" t="s">
        <v>37</v>
      </c>
      <c r="D185" t="s">
        <v>38</v>
      </c>
      <c r="E185">
        <v>1</v>
      </c>
      <c r="F185">
        <v>1</v>
      </c>
      <c r="G185" t="s">
        <v>242</v>
      </c>
      <c r="H185" t="s">
        <v>379</v>
      </c>
      <c r="I185" t="s">
        <v>193</v>
      </c>
      <c r="J185" t="s">
        <v>254</v>
      </c>
    </row>
    <row r="186" spans="1:10">
      <c r="A186">
        <v>1340</v>
      </c>
      <c r="B186">
        <v>46186</v>
      </c>
      <c r="C186" t="s">
        <v>35</v>
      </c>
      <c r="D186" t="s">
        <v>36</v>
      </c>
      <c r="E186">
        <v>1</v>
      </c>
      <c r="F186">
        <v>1</v>
      </c>
      <c r="G186" t="s">
        <v>242</v>
      </c>
      <c r="H186" t="s">
        <v>380</v>
      </c>
      <c r="I186" t="s">
        <v>193</v>
      </c>
      <c r="J186" t="s">
        <v>254</v>
      </c>
    </row>
    <row r="187" spans="1:10">
      <c r="A187">
        <v>1341</v>
      </c>
      <c r="B187">
        <v>46186</v>
      </c>
      <c r="C187" t="s">
        <v>31</v>
      </c>
      <c r="D187" t="s">
        <v>32</v>
      </c>
      <c r="E187">
        <v>0</v>
      </c>
      <c r="F187">
        <v>1</v>
      </c>
      <c r="G187" t="s">
        <v>242</v>
      </c>
      <c r="H187" t="s">
        <v>296</v>
      </c>
      <c r="I187" t="s">
        <v>193</v>
      </c>
      <c r="J187" t="s">
        <v>254</v>
      </c>
    </row>
    <row r="188" spans="1:10">
      <c r="A188">
        <v>1342</v>
      </c>
      <c r="B188">
        <v>46186</v>
      </c>
      <c r="C188" t="s">
        <v>33</v>
      </c>
      <c r="D188" t="s">
        <v>198</v>
      </c>
      <c r="E188">
        <v>2</v>
      </c>
      <c r="F188">
        <v>0</v>
      </c>
      <c r="G188" t="s">
        <v>242</v>
      </c>
      <c r="H188" t="s">
        <v>381</v>
      </c>
      <c r="I188" t="s">
        <v>25</v>
      </c>
      <c r="J188" t="s">
        <v>254</v>
      </c>
    </row>
    <row r="189" spans="1:10">
      <c r="A189">
        <v>1343</v>
      </c>
      <c r="B189">
        <v>46187</v>
      </c>
      <c r="C189" t="s">
        <v>42</v>
      </c>
      <c r="D189" t="s">
        <v>43</v>
      </c>
      <c r="E189">
        <v>7</v>
      </c>
      <c r="F189">
        <v>1</v>
      </c>
      <c r="G189" t="s">
        <v>242</v>
      </c>
      <c r="H189" t="s">
        <v>382</v>
      </c>
      <c r="I189" t="s">
        <v>193</v>
      </c>
      <c r="J189" t="s">
        <v>254</v>
      </c>
    </row>
    <row r="190" spans="1:10">
      <c r="A190">
        <v>1344</v>
      </c>
      <c r="B190">
        <v>46187</v>
      </c>
      <c r="C190" t="s">
        <v>180</v>
      </c>
      <c r="D190" t="s">
        <v>41</v>
      </c>
      <c r="E190">
        <v>1</v>
      </c>
      <c r="F190">
        <v>0</v>
      </c>
      <c r="G190" t="s">
        <v>242</v>
      </c>
      <c r="H190" t="s">
        <v>383</v>
      </c>
      <c r="I190" t="s">
        <v>193</v>
      </c>
      <c r="J190" t="s">
        <v>254</v>
      </c>
    </row>
    <row r="191" spans="1:10">
      <c r="A191">
        <v>1345</v>
      </c>
      <c r="B191">
        <v>46187</v>
      </c>
      <c r="C191" t="s">
        <v>45</v>
      </c>
      <c r="D191" t="s">
        <v>46</v>
      </c>
      <c r="E191">
        <v>2</v>
      </c>
      <c r="F191">
        <v>2</v>
      </c>
      <c r="G191" t="s">
        <v>242</v>
      </c>
      <c r="H191" t="s">
        <v>384</v>
      </c>
      <c r="I191" t="s">
        <v>193</v>
      </c>
      <c r="J191" t="s">
        <v>254</v>
      </c>
    </row>
    <row r="192" spans="1:10">
      <c r="A192">
        <v>1346</v>
      </c>
      <c r="B192">
        <v>46187</v>
      </c>
      <c r="C192" t="s">
        <v>47</v>
      </c>
      <c r="D192" t="s">
        <v>48</v>
      </c>
      <c r="E192">
        <v>5</v>
      </c>
      <c r="F192">
        <v>1</v>
      </c>
      <c r="G192" t="s">
        <v>242</v>
      </c>
      <c r="H192" t="s">
        <v>332</v>
      </c>
      <c r="I192" t="s">
        <v>20</v>
      </c>
      <c r="J192" t="s">
        <v>254</v>
      </c>
    </row>
    <row r="193" spans="1:10">
      <c r="A193">
        <v>1347</v>
      </c>
      <c r="B193">
        <v>46188</v>
      </c>
      <c r="C193" t="s">
        <v>57</v>
      </c>
      <c r="D193" t="s">
        <v>58</v>
      </c>
      <c r="E193">
        <v>1</v>
      </c>
      <c r="F193">
        <v>1</v>
      </c>
      <c r="G193" t="s">
        <v>242</v>
      </c>
      <c r="H193" t="s">
        <v>385</v>
      </c>
      <c r="I193" t="s">
        <v>193</v>
      </c>
      <c r="J193" t="s">
        <v>254</v>
      </c>
    </row>
    <row r="194" spans="1:10">
      <c r="A194">
        <v>1348</v>
      </c>
      <c r="B194">
        <v>46188</v>
      </c>
      <c r="C194" t="s">
        <v>221</v>
      </c>
      <c r="D194" t="s">
        <v>56</v>
      </c>
      <c r="E194">
        <v>2</v>
      </c>
      <c r="F194">
        <v>2</v>
      </c>
      <c r="G194" t="s">
        <v>242</v>
      </c>
      <c r="H194" t="s">
        <v>378</v>
      </c>
      <c r="I194" t="s">
        <v>193</v>
      </c>
      <c r="J194" t="s">
        <v>254</v>
      </c>
    </row>
    <row r="195" spans="1:10">
      <c r="A195">
        <v>1349</v>
      </c>
      <c r="B195">
        <v>46188</v>
      </c>
      <c r="C195" t="s">
        <v>52</v>
      </c>
      <c r="D195" t="s">
        <v>217</v>
      </c>
      <c r="E195">
        <v>0</v>
      </c>
      <c r="F195">
        <v>0</v>
      </c>
      <c r="G195" t="s">
        <v>242</v>
      </c>
      <c r="H195" t="s">
        <v>319</v>
      </c>
      <c r="I195" t="s">
        <v>193</v>
      </c>
      <c r="J195" t="s">
        <v>254</v>
      </c>
    </row>
    <row r="196" spans="1:10">
      <c r="A196">
        <v>1350</v>
      </c>
      <c r="B196">
        <v>46188</v>
      </c>
      <c r="C196" t="s">
        <v>50</v>
      </c>
      <c r="D196" t="s">
        <v>51</v>
      </c>
      <c r="E196">
        <v>1</v>
      </c>
      <c r="F196">
        <v>1</v>
      </c>
      <c r="G196" t="s">
        <v>242</v>
      </c>
      <c r="H196" t="s">
        <v>386</v>
      </c>
      <c r="I196" t="s">
        <v>193</v>
      </c>
      <c r="J196" t="s">
        <v>254</v>
      </c>
    </row>
    <row r="197" spans="1:10">
      <c r="A197">
        <v>1351</v>
      </c>
      <c r="B197">
        <v>46189</v>
      </c>
      <c r="C197" t="s">
        <v>60</v>
      </c>
      <c r="D197" t="s">
        <v>61</v>
      </c>
      <c r="E197">
        <v>3</v>
      </c>
      <c r="F197">
        <v>1</v>
      </c>
      <c r="G197" t="s">
        <v>242</v>
      </c>
      <c r="H197" t="s">
        <v>380</v>
      </c>
      <c r="I197" t="s">
        <v>193</v>
      </c>
      <c r="J197" t="s">
        <v>254</v>
      </c>
    </row>
    <row r="198" spans="1:10">
      <c r="A198">
        <v>1352</v>
      </c>
      <c r="B198">
        <v>46189</v>
      </c>
      <c r="C198" t="s">
        <v>62</v>
      </c>
      <c r="D198" t="s">
        <v>63</v>
      </c>
      <c r="E198">
        <v>1</v>
      </c>
      <c r="F198">
        <v>4</v>
      </c>
      <c r="G198" t="s">
        <v>242</v>
      </c>
      <c r="H198" t="s">
        <v>296</v>
      </c>
      <c r="I198" t="s">
        <v>193</v>
      </c>
      <c r="J198" t="s">
        <v>254</v>
      </c>
    </row>
    <row r="199" spans="1:10">
      <c r="A199">
        <v>1353</v>
      </c>
      <c r="B199">
        <v>46189</v>
      </c>
      <c r="C199" t="s">
        <v>65</v>
      </c>
      <c r="D199" t="s">
        <v>66</v>
      </c>
      <c r="E199">
        <v>3</v>
      </c>
      <c r="F199">
        <v>0</v>
      </c>
      <c r="G199" t="s">
        <v>242</v>
      </c>
      <c r="H199" t="s">
        <v>376</v>
      </c>
      <c r="I199" t="s">
        <v>193</v>
      </c>
      <c r="J199" t="s">
        <v>254</v>
      </c>
    </row>
    <row r="200" spans="1:10">
      <c r="A200">
        <v>1354</v>
      </c>
      <c r="B200">
        <v>46189</v>
      </c>
      <c r="C200" t="s">
        <v>67</v>
      </c>
      <c r="D200" t="s">
        <v>68</v>
      </c>
      <c r="E200">
        <v>3</v>
      </c>
      <c r="F200">
        <v>1</v>
      </c>
      <c r="G200" t="s">
        <v>242</v>
      </c>
      <c r="H200" t="s">
        <v>379</v>
      </c>
      <c r="I200" t="s">
        <v>193</v>
      </c>
      <c r="J200" t="s">
        <v>254</v>
      </c>
    </row>
    <row r="201" spans="1:10">
      <c r="A201">
        <v>1355</v>
      </c>
      <c r="B201">
        <v>46190</v>
      </c>
      <c r="C201" t="s">
        <v>75</v>
      </c>
      <c r="D201" t="s">
        <v>240</v>
      </c>
      <c r="E201">
        <v>1</v>
      </c>
      <c r="F201">
        <v>1</v>
      </c>
      <c r="G201" t="s">
        <v>242</v>
      </c>
      <c r="H201" t="s">
        <v>382</v>
      </c>
      <c r="I201" t="s">
        <v>193</v>
      </c>
      <c r="J201" t="s">
        <v>254</v>
      </c>
    </row>
    <row r="202" spans="1:10">
      <c r="A202">
        <v>1356</v>
      </c>
      <c r="B202">
        <v>46190</v>
      </c>
      <c r="C202" t="s">
        <v>77</v>
      </c>
      <c r="D202" t="s">
        <v>78</v>
      </c>
      <c r="E202">
        <v>1</v>
      </c>
      <c r="F202">
        <v>3</v>
      </c>
      <c r="G202" t="s">
        <v>242</v>
      </c>
      <c r="H202" t="s">
        <v>317</v>
      </c>
      <c r="I202" t="s">
        <v>20</v>
      </c>
      <c r="J202" t="s">
        <v>254</v>
      </c>
    </row>
    <row r="203" spans="1:10">
      <c r="A203">
        <v>1357</v>
      </c>
      <c r="B203">
        <v>46190</v>
      </c>
      <c r="C203" t="s">
        <v>72</v>
      </c>
      <c r="D203" t="s">
        <v>73</v>
      </c>
      <c r="E203">
        <v>4</v>
      </c>
      <c r="F203">
        <v>2</v>
      </c>
      <c r="G203" t="s">
        <v>242</v>
      </c>
      <c r="H203" t="s">
        <v>384</v>
      </c>
      <c r="I203" t="s">
        <v>193</v>
      </c>
      <c r="J203" t="s">
        <v>254</v>
      </c>
    </row>
    <row r="204" spans="1:10">
      <c r="A204">
        <v>1358</v>
      </c>
      <c r="B204">
        <v>46190</v>
      </c>
      <c r="C204" t="s">
        <v>70</v>
      </c>
      <c r="D204" t="s">
        <v>71</v>
      </c>
      <c r="E204">
        <v>1</v>
      </c>
      <c r="F204">
        <v>0</v>
      </c>
      <c r="G204" t="s">
        <v>242</v>
      </c>
      <c r="H204" t="s">
        <v>315</v>
      </c>
      <c r="I204" t="s">
        <v>25</v>
      </c>
      <c r="J204" t="s">
        <v>254</v>
      </c>
    </row>
    <row r="205" spans="1:10">
      <c r="A205">
        <v>1359</v>
      </c>
      <c r="B205">
        <v>46191</v>
      </c>
      <c r="C205" t="s">
        <v>181</v>
      </c>
      <c r="D205" t="s">
        <v>21</v>
      </c>
      <c r="E205">
        <v>1</v>
      </c>
      <c r="F205">
        <v>1</v>
      </c>
      <c r="G205" t="s">
        <v>242</v>
      </c>
      <c r="H205" t="s">
        <v>319</v>
      </c>
      <c r="I205" t="s">
        <v>193</v>
      </c>
      <c r="J205" t="s">
        <v>254</v>
      </c>
    </row>
    <row r="206" spans="1:10">
      <c r="A206">
        <v>1360</v>
      </c>
      <c r="B206">
        <v>46191</v>
      </c>
      <c r="C206" t="s">
        <v>20</v>
      </c>
      <c r="D206" t="s">
        <v>177</v>
      </c>
      <c r="E206">
        <v>1</v>
      </c>
      <c r="F206">
        <v>0</v>
      </c>
      <c r="G206" t="s">
        <v>242</v>
      </c>
      <c r="H206" t="s">
        <v>295</v>
      </c>
      <c r="I206" t="s">
        <v>20</v>
      </c>
      <c r="J206" t="s">
        <v>256</v>
      </c>
    </row>
    <row r="207" spans="1:10">
      <c r="A207">
        <v>1361</v>
      </c>
      <c r="B207">
        <v>46191</v>
      </c>
      <c r="C207" t="s">
        <v>38</v>
      </c>
      <c r="D207" t="s">
        <v>26</v>
      </c>
      <c r="E207">
        <v>4</v>
      </c>
      <c r="F207">
        <v>1</v>
      </c>
      <c r="G207" t="s">
        <v>242</v>
      </c>
      <c r="H207" t="s">
        <v>378</v>
      </c>
      <c r="I207" t="s">
        <v>193</v>
      </c>
      <c r="J207" t="s">
        <v>254</v>
      </c>
    </row>
    <row r="208" spans="1:10">
      <c r="A208">
        <v>1362</v>
      </c>
      <c r="B208">
        <v>46191</v>
      </c>
      <c r="C208" t="s">
        <v>25</v>
      </c>
      <c r="D208" t="s">
        <v>37</v>
      </c>
      <c r="E208">
        <v>6</v>
      </c>
      <c r="F208">
        <v>0</v>
      </c>
      <c r="G208" t="s">
        <v>242</v>
      </c>
      <c r="H208" t="s">
        <v>381</v>
      </c>
      <c r="I208" t="s">
        <v>25</v>
      </c>
      <c r="J208" t="s">
        <v>256</v>
      </c>
    </row>
    <row r="209" spans="1:10">
      <c r="A209">
        <v>1363</v>
      </c>
      <c r="B209">
        <v>46192</v>
      </c>
      <c r="C209" t="s">
        <v>32</v>
      </c>
      <c r="D209" t="s">
        <v>36</v>
      </c>
      <c r="E209">
        <v>0</v>
      </c>
      <c r="F209">
        <v>1</v>
      </c>
      <c r="G209" t="s">
        <v>242</v>
      </c>
      <c r="H209" t="s">
        <v>296</v>
      </c>
      <c r="I209" t="s">
        <v>193</v>
      </c>
      <c r="J209" t="s">
        <v>254</v>
      </c>
    </row>
    <row r="210" spans="1:10">
      <c r="A210">
        <v>1364</v>
      </c>
      <c r="B210">
        <v>46192</v>
      </c>
      <c r="C210" t="s">
        <v>35</v>
      </c>
      <c r="D210" t="s">
        <v>31</v>
      </c>
      <c r="E210">
        <v>3</v>
      </c>
      <c r="F210">
        <v>0</v>
      </c>
      <c r="G210" t="s">
        <v>242</v>
      </c>
      <c r="H210" t="s">
        <v>383</v>
      </c>
      <c r="I210" t="s">
        <v>193</v>
      </c>
      <c r="J210" t="s">
        <v>254</v>
      </c>
    </row>
    <row r="211" spans="1:10">
      <c r="A211">
        <v>1365</v>
      </c>
      <c r="B211">
        <v>46192</v>
      </c>
      <c r="C211" t="s">
        <v>193</v>
      </c>
      <c r="D211" t="s">
        <v>33</v>
      </c>
      <c r="E211">
        <v>2</v>
      </c>
      <c r="F211">
        <v>0</v>
      </c>
      <c r="G211" t="s">
        <v>242</v>
      </c>
      <c r="H211" t="s">
        <v>385</v>
      </c>
      <c r="I211" t="s">
        <v>193</v>
      </c>
      <c r="J211" t="s">
        <v>256</v>
      </c>
    </row>
    <row r="212" spans="1:10">
      <c r="A212">
        <v>1366</v>
      </c>
      <c r="B212">
        <v>46192</v>
      </c>
      <c r="C212" t="s">
        <v>198</v>
      </c>
      <c r="D212" t="s">
        <v>29</v>
      </c>
      <c r="E212">
        <v>0</v>
      </c>
      <c r="F212">
        <v>1</v>
      </c>
      <c r="G212" t="s">
        <v>242</v>
      </c>
      <c r="H212" t="s">
        <v>379</v>
      </c>
      <c r="I212" t="s">
        <v>193</v>
      </c>
      <c r="J212" t="s">
        <v>254</v>
      </c>
    </row>
    <row r="213" spans="1:10">
      <c r="A213">
        <v>1367</v>
      </c>
      <c r="B213">
        <v>46193</v>
      </c>
      <c r="C213" t="s">
        <v>42</v>
      </c>
      <c r="D213" t="s">
        <v>180</v>
      </c>
      <c r="E213">
        <v>2</v>
      </c>
      <c r="F213">
        <v>1</v>
      </c>
      <c r="G213" t="s">
        <v>242</v>
      </c>
      <c r="H213" t="s">
        <v>315</v>
      </c>
      <c r="I213" t="s">
        <v>25</v>
      </c>
      <c r="J213" t="s">
        <v>254</v>
      </c>
    </row>
    <row r="214" spans="1:10">
      <c r="A214">
        <v>1368</v>
      </c>
      <c r="B214">
        <v>46193</v>
      </c>
      <c r="C214" t="s">
        <v>41</v>
      </c>
      <c r="D214" t="s">
        <v>43</v>
      </c>
      <c r="E214">
        <v>0</v>
      </c>
      <c r="F214">
        <v>0</v>
      </c>
      <c r="G214" t="s">
        <v>242</v>
      </c>
      <c r="H214" t="s">
        <v>376</v>
      </c>
      <c r="I214" t="s">
        <v>193</v>
      </c>
      <c r="J214" t="s">
        <v>254</v>
      </c>
    </row>
    <row r="215" spans="1:10">
      <c r="A215">
        <v>1369</v>
      </c>
      <c r="B215">
        <v>46193</v>
      </c>
      <c r="C215" t="s">
        <v>45</v>
      </c>
      <c r="D215" t="s">
        <v>47</v>
      </c>
      <c r="E215">
        <v>5</v>
      </c>
      <c r="F215">
        <v>1</v>
      </c>
      <c r="G215" t="s">
        <v>242</v>
      </c>
      <c r="H215" t="s">
        <v>382</v>
      </c>
      <c r="I215" t="s">
        <v>193</v>
      </c>
      <c r="J215" t="s">
        <v>254</v>
      </c>
    </row>
    <row r="216" spans="1:10">
      <c r="A216">
        <v>1370</v>
      </c>
      <c r="B216">
        <v>46193</v>
      </c>
      <c r="C216" t="s">
        <v>48</v>
      </c>
      <c r="D216" t="s">
        <v>46</v>
      </c>
      <c r="E216">
        <v>0</v>
      </c>
      <c r="F216">
        <v>4</v>
      </c>
      <c r="G216" t="s">
        <v>242</v>
      </c>
      <c r="H216" t="s">
        <v>332</v>
      </c>
      <c r="I216" t="s">
        <v>20</v>
      </c>
      <c r="J216" t="s">
        <v>254</v>
      </c>
    </row>
    <row r="217" spans="1:10">
      <c r="A217">
        <v>1371</v>
      </c>
      <c r="B217">
        <v>46194</v>
      </c>
      <c r="C217" t="s">
        <v>57</v>
      </c>
      <c r="D217" t="s">
        <v>221</v>
      </c>
      <c r="E217">
        <v>0</v>
      </c>
      <c r="F217">
        <v>0</v>
      </c>
      <c r="G217" t="s">
        <v>242</v>
      </c>
      <c r="H217" t="s">
        <v>378</v>
      </c>
      <c r="I217" t="s">
        <v>193</v>
      </c>
      <c r="J217" t="s">
        <v>254</v>
      </c>
    </row>
    <row r="218" spans="1:10">
      <c r="A218">
        <v>1372</v>
      </c>
      <c r="B218">
        <v>46194</v>
      </c>
      <c r="C218" t="s">
        <v>56</v>
      </c>
      <c r="D218" t="s">
        <v>58</v>
      </c>
      <c r="E218">
        <v>1</v>
      </c>
      <c r="F218">
        <v>3</v>
      </c>
      <c r="G218" t="s">
        <v>242</v>
      </c>
      <c r="H218" t="s">
        <v>381</v>
      </c>
      <c r="I218" t="s">
        <v>25</v>
      </c>
      <c r="J218" t="s">
        <v>254</v>
      </c>
    </row>
    <row r="219" spans="1:10">
      <c r="A219">
        <v>1373</v>
      </c>
      <c r="B219">
        <v>46194</v>
      </c>
      <c r="C219" t="s">
        <v>52</v>
      </c>
      <c r="D219" t="s">
        <v>50</v>
      </c>
      <c r="E219">
        <v>4</v>
      </c>
      <c r="F219">
        <v>0</v>
      </c>
      <c r="G219" t="s">
        <v>242</v>
      </c>
      <c r="H219" t="s">
        <v>319</v>
      </c>
      <c r="I219" t="s">
        <v>193</v>
      </c>
      <c r="J219" t="s">
        <v>254</v>
      </c>
    </row>
    <row r="220" spans="1:10">
      <c r="A220">
        <v>1374</v>
      </c>
      <c r="B220">
        <v>46194</v>
      </c>
      <c r="C220" t="s">
        <v>51</v>
      </c>
      <c r="D220" t="s">
        <v>217</v>
      </c>
      <c r="E220">
        <v>2</v>
      </c>
      <c r="F220">
        <v>2</v>
      </c>
      <c r="G220" t="s">
        <v>242</v>
      </c>
      <c r="H220" t="s">
        <v>386</v>
      </c>
      <c r="I220" t="s">
        <v>193</v>
      </c>
      <c r="J220" t="s">
        <v>254</v>
      </c>
    </row>
    <row r="221" spans="1:10">
      <c r="A221">
        <v>1375</v>
      </c>
      <c r="B221">
        <v>46195</v>
      </c>
      <c r="C221" t="s">
        <v>60</v>
      </c>
      <c r="D221" t="s">
        <v>62</v>
      </c>
      <c r="E221">
        <v>3</v>
      </c>
      <c r="F221">
        <v>0</v>
      </c>
      <c r="G221" t="s">
        <v>242</v>
      </c>
      <c r="H221" t="s">
        <v>383</v>
      </c>
      <c r="I221" t="s">
        <v>193</v>
      </c>
      <c r="J221" t="s">
        <v>254</v>
      </c>
    </row>
    <row r="222" spans="1:10">
      <c r="A222">
        <v>1376</v>
      </c>
      <c r="B222">
        <v>46195</v>
      </c>
      <c r="C222" t="s">
        <v>63</v>
      </c>
      <c r="D222" t="s">
        <v>61</v>
      </c>
      <c r="E222">
        <v>3</v>
      </c>
      <c r="F222">
        <v>2</v>
      </c>
      <c r="G222" t="s">
        <v>242</v>
      </c>
      <c r="H222" t="s">
        <v>380</v>
      </c>
      <c r="I222" t="s">
        <v>193</v>
      </c>
      <c r="J222" t="s">
        <v>254</v>
      </c>
    </row>
    <row r="223" spans="1:10">
      <c r="A223">
        <v>1377</v>
      </c>
      <c r="B223">
        <v>46195</v>
      </c>
      <c r="C223" t="s">
        <v>65</v>
      </c>
      <c r="D223" t="s">
        <v>67</v>
      </c>
      <c r="E223">
        <v>2</v>
      </c>
      <c r="F223">
        <v>0</v>
      </c>
      <c r="G223" t="s">
        <v>242</v>
      </c>
      <c r="H223" t="s">
        <v>384</v>
      </c>
      <c r="I223" t="s">
        <v>193</v>
      </c>
      <c r="J223" t="s">
        <v>254</v>
      </c>
    </row>
    <row r="224" spans="1:10">
      <c r="A224">
        <v>1378</v>
      </c>
      <c r="B224">
        <v>46195</v>
      </c>
      <c r="C224" t="s">
        <v>68</v>
      </c>
      <c r="D224" t="s">
        <v>66</v>
      </c>
      <c r="E224">
        <v>1</v>
      </c>
      <c r="F224">
        <v>2</v>
      </c>
      <c r="G224" t="s">
        <v>242</v>
      </c>
      <c r="H224" t="s">
        <v>379</v>
      </c>
      <c r="I224" t="s">
        <v>193</v>
      </c>
      <c r="J224" t="s">
        <v>254</v>
      </c>
    </row>
    <row r="225" spans="1:10">
      <c r="A225">
        <v>1379</v>
      </c>
      <c r="B225">
        <v>46196</v>
      </c>
      <c r="C225" t="s">
        <v>75</v>
      </c>
      <c r="D225" t="s">
        <v>77</v>
      </c>
      <c r="E225">
        <v>5</v>
      </c>
      <c r="F225">
        <v>0</v>
      </c>
      <c r="G225" t="s">
        <v>242</v>
      </c>
      <c r="H225" t="s">
        <v>382</v>
      </c>
      <c r="I225" t="s">
        <v>193</v>
      </c>
      <c r="J225" t="s">
        <v>254</v>
      </c>
    </row>
    <row r="226" spans="1:10">
      <c r="A226">
        <v>1380</v>
      </c>
      <c r="B226">
        <v>46196</v>
      </c>
      <c r="C226" t="s">
        <v>78</v>
      </c>
      <c r="D226" t="s">
        <v>240</v>
      </c>
      <c r="E226">
        <v>1</v>
      </c>
      <c r="F226">
        <v>0</v>
      </c>
      <c r="G226" t="s">
        <v>242</v>
      </c>
      <c r="H226" t="s">
        <v>295</v>
      </c>
      <c r="I226" t="s">
        <v>20</v>
      </c>
      <c r="J226" t="s">
        <v>254</v>
      </c>
    </row>
    <row r="227" spans="1:10">
      <c r="A227">
        <v>1381</v>
      </c>
      <c r="B227">
        <v>46196</v>
      </c>
      <c r="C227" t="s">
        <v>72</v>
      </c>
      <c r="D227" t="s">
        <v>70</v>
      </c>
      <c r="E227">
        <v>0</v>
      </c>
      <c r="F227">
        <v>0</v>
      </c>
      <c r="G227" t="s">
        <v>242</v>
      </c>
      <c r="H227" t="s">
        <v>296</v>
      </c>
      <c r="I227" t="s">
        <v>193</v>
      </c>
      <c r="J227" t="s">
        <v>254</v>
      </c>
    </row>
    <row r="228" spans="1:10">
      <c r="A228">
        <v>1382</v>
      </c>
      <c r="B228">
        <v>46196</v>
      </c>
      <c r="C228" t="s">
        <v>71</v>
      </c>
      <c r="D228" t="s">
        <v>73</v>
      </c>
      <c r="E228">
        <v>0</v>
      </c>
      <c r="F228">
        <v>1</v>
      </c>
      <c r="G228" t="s">
        <v>242</v>
      </c>
      <c r="H228" t="s">
        <v>315</v>
      </c>
      <c r="I228" t="s">
        <v>25</v>
      </c>
      <c r="J228" t="s">
        <v>254</v>
      </c>
    </row>
    <row r="229" spans="1:10">
      <c r="A229">
        <v>1383</v>
      </c>
      <c r="B229">
        <v>46197</v>
      </c>
      <c r="C229" t="s">
        <v>20</v>
      </c>
      <c r="D229" t="s">
        <v>181</v>
      </c>
      <c r="E229">
        <v>3</v>
      </c>
      <c r="F229">
        <v>0</v>
      </c>
      <c r="G229" t="s">
        <v>242</v>
      </c>
      <c r="H229" t="s">
        <v>317</v>
      </c>
      <c r="I229" t="s">
        <v>20</v>
      </c>
      <c r="J229" t="s">
        <v>256</v>
      </c>
    </row>
    <row r="230" spans="1:10">
      <c r="A230">
        <v>1384</v>
      </c>
      <c r="B230">
        <v>46197</v>
      </c>
      <c r="C230" t="s">
        <v>21</v>
      </c>
      <c r="D230" t="s">
        <v>177</v>
      </c>
      <c r="E230">
        <v>1</v>
      </c>
      <c r="F230">
        <v>0</v>
      </c>
      <c r="G230" t="s">
        <v>242</v>
      </c>
      <c r="H230" t="s">
        <v>332</v>
      </c>
      <c r="I230" t="s">
        <v>20</v>
      </c>
      <c r="J230" t="s">
        <v>254</v>
      </c>
    </row>
    <row r="231" spans="1:10">
      <c r="A231">
        <v>1385</v>
      </c>
      <c r="B231">
        <v>46197</v>
      </c>
      <c r="C231" t="s">
        <v>25</v>
      </c>
      <c r="D231" t="s">
        <v>38</v>
      </c>
      <c r="E231">
        <v>1</v>
      </c>
      <c r="F231">
        <v>2</v>
      </c>
      <c r="G231" t="s">
        <v>242</v>
      </c>
      <c r="H231" t="s">
        <v>381</v>
      </c>
      <c r="I231" t="s">
        <v>25</v>
      </c>
      <c r="J231" t="s">
        <v>256</v>
      </c>
    </row>
    <row r="232" spans="1:10">
      <c r="A232">
        <v>1386</v>
      </c>
      <c r="B232">
        <v>46197</v>
      </c>
      <c r="C232" t="s">
        <v>26</v>
      </c>
      <c r="D232" t="s">
        <v>37</v>
      </c>
      <c r="E232">
        <v>3</v>
      </c>
      <c r="F232">
        <v>1</v>
      </c>
      <c r="G232" t="s">
        <v>242</v>
      </c>
      <c r="H232" t="s">
        <v>385</v>
      </c>
      <c r="I232" t="s">
        <v>193</v>
      </c>
      <c r="J232" t="s">
        <v>254</v>
      </c>
    </row>
    <row r="233" spans="1:10">
      <c r="A233">
        <v>1387</v>
      </c>
      <c r="B233">
        <v>46197</v>
      </c>
      <c r="C233" t="s">
        <v>32</v>
      </c>
      <c r="D233" t="s">
        <v>35</v>
      </c>
      <c r="E233">
        <v>0</v>
      </c>
      <c r="F233">
        <v>3</v>
      </c>
      <c r="G233" t="s">
        <v>242</v>
      </c>
      <c r="H233" t="s">
        <v>386</v>
      </c>
      <c r="I233" t="s">
        <v>193</v>
      </c>
      <c r="J233" t="s">
        <v>254</v>
      </c>
    </row>
    <row r="234" spans="1:10">
      <c r="A234">
        <v>1388</v>
      </c>
      <c r="B234">
        <v>46197</v>
      </c>
      <c r="C234" t="s">
        <v>36</v>
      </c>
      <c r="D234" t="s">
        <v>31</v>
      </c>
      <c r="E234">
        <v>4</v>
      </c>
      <c r="F234">
        <v>2</v>
      </c>
      <c r="G234" t="s">
        <v>242</v>
      </c>
      <c r="H234" t="s">
        <v>319</v>
      </c>
      <c r="I234" t="s">
        <v>193</v>
      </c>
      <c r="J234" t="s">
        <v>254</v>
      </c>
    </row>
    <row r="235" spans="1:10">
      <c r="A235">
        <v>1389</v>
      </c>
      <c r="B235">
        <v>46198</v>
      </c>
      <c r="C235" t="s">
        <v>193</v>
      </c>
      <c r="D235" t="s">
        <v>198</v>
      </c>
      <c r="E235">
        <v>2</v>
      </c>
      <c r="F235">
        <v>3</v>
      </c>
      <c r="G235" t="s">
        <v>242</v>
      </c>
      <c r="H235" t="s">
        <v>378</v>
      </c>
      <c r="I235" t="s">
        <v>193</v>
      </c>
      <c r="J235" t="s">
        <v>256</v>
      </c>
    </row>
    <row r="236" spans="1:10">
      <c r="A236">
        <v>1390</v>
      </c>
      <c r="B236">
        <v>46198</v>
      </c>
      <c r="C236" t="s">
        <v>29</v>
      </c>
      <c r="D236" t="s">
        <v>33</v>
      </c>
      <c r="E236">
        <v>0</v>
      </c>
      <c r="F236">
        <v>0</v>
      </c>
      <c r="G236" t="s">
        <v>242</v>
      </c>
      <c r="H236" t="s">
        <v>379</v>
      </c>
      <c r="I236" t="s">
        <v>193</v>
      </c>
      <c r="J236" t="s">
        <v>254</v>
      </c>
    </row>
    <row r="237" spans="1:10">
      <c r="A237">
        <v>1391</v>
      </c>
      <c r="B237">
        <v>46198</v>
      </c>
      <c r="C237" t="s">
        <v>43</v>
      </c>
      <c r="D237" t="s">
        <v>180</v>
      </c>
      <c r="E237">
        <v>0</v>
      </c>
      <c r="F237">
        <v>2</v>
      </c>
      <c r="G237" t="s">
        <v>242</v>
      </c>
      <c r="H237" t="s">
        <v>383</v>
      </c>
      <c r="I237" t="s">
        <v>193</v>
      </c>
      <c r="J237" t="s">
        <v>254</v>
      </c>
    </row>
    <row r="238" spans="1:10">
      <c r="A238">
        <v>1392</v>
      </c>
      <c r="B238">
        <v>46198</v>
      </c>
      <c r="C238" t="s">
        <v>41</v>
      </c>
      <c r="D238" t="s">
        <v>42</v>
      </c>
      <c r="E238">
        <v>2</v>
      </c>
      <c r="F238">
        <v>1</v>
      </c>
      <c r="G238" t="s">
        <v>242</v>
      </c>
      <c r="H238" t="s">
        <v>380</v>
      </c>
      <c r="I238" t="s">
        <v>193</v>
      </c>
      <c r="J238" t="s">
        <v>254</v>
      </c>
    </row>
    <row r="239" spans="1:10">
      <c r="A239">
        <v>1393</v>
      </c>
      <c r="B239">
        <v>46198</v>
      </c>
      <c r="C239" t="s">
        <v>46</v>
      </c>
      <c r="D239" t="s">
        <v>47</v>
      </c>
      <c r="E239">
        <v>1</v>
      </c>
      <c r="F239">
        <v>1</v>
      </c>
      <c r="G239" t="s">
        <v>242</v>
      </c>
      <c r="H239" t="s">
        <v>384</v>
      </c>
      <c r="I239" t="s">
        <v>193</v>
      </c>
      <c r="J239" t="s">
        <v>254</v>
      </c>
    </row>
    <row r="240" spans="1:10">
      <c r="A240">
        <v>1394</v>
      </c>
      <c r="B240">
        <v>46198</v>
      </c>
      <c r="C240" t="s">
        <v>48</v>
      </c>
      <c r="D240" t="s">
        <v>45</v>
      </c>
      <c r="E240">
        <v>1</v>
      </c>
      <c r="F240">
        <v>3</v>
      </c>
      <c r="G240" t="s">
        <v>242</v>
      </c>
      <c r="H240" t="s">
        <v>376</v>
      </c>
      <c r="I240" t="s">
        <v>193</v>
      </c>
      <c r="J240" t="s">
        <v>254</v>
      </c>
    </row>
    <row r="241" spans="1:10">
      <c r="A241">
        <v>1395</v>
      </c>
      <c r="B241">
        <v>46199</v>
      </c>
      <c r="C241" t="s">
        <v>58</v>
      </c>
      <c r="D241" t="s">
        <v>221</v>
      </c>
      <c r="E241">
        <v>1</v>
      </c>
      <c r="F241">
        <v>1</v>
      </c>
      <c r="G241" t="s">
        <v>242</v>
      </c>
      <c r="H241" t="s">
        <v>385</v>
      </c>
      <c r="I241" t="s">
        <v>193</v>
      </c>
      <c r="J241" t="s">
        <v>254</v>
      </c>
    </row>
    <row r="242" spans="1:10">
      <c r="A242">
        <v>1396</v>
      </c>
      <c r="B242">
        <v>46199</v>
      </c>
      <c r="C242" t="s">
        <v>56</v>
      </c>
      <c r="D242" t="s">
        <v>57</v>
      </c>
      <c r="E242">
        <v>1</v>
      </c>
      <c r="F242">
        <v>5</v>
      </c>
      <c r="G242" t="s">
        <v>242</v>
      </c>
      <c r="H242" t="s">
        <v>381</v>
      </c>
      <c r="I242" t="s">
        <v>25</v>
      </c>
      <c r="J242" t="s">
        <v>254</v>
      </c>
    </row>
    <row r="243" spans="1:10">
      <c r="A243">
        <v>1397</v>
      </c>
      <c r="B243">
        <v>46199</v>
      </c>
      <c r="C243" t="s">
        <v>217</v>
      </c>
      <c r="D243" t="s">
        <v>50</v>
      </c>
      <c r="E243">
        <v>0</v>
      </c>
      <c r="F243">
        <v>0</v>
      </c>
      <c r="G243" t="s">
        <v>242</v>
      </c>
      <c r="H243" t="s">
        <v>382</v>
      </c>
      <c r="I243" t="s">
        <v>193</v>
      </c>
      <c r="J243" t="s">
        <v>254</v>
      </c>
    </row>
    <row r="244" spans="1:10">
      <c r="A244">
        <v>1398</v>
      </c>
      <c r="B244">
        <v>46199</v>
      </c>
      <c r="C244" t="s">
        <v>51</v>
      </c>
      <c r="D244" t="s">
        <v>52</v>
      </c>
      <c r="E244">
        <v>0</v>
      </c>
      <c r="F244">
        <v>1</v>
      </c>
      <c r="G244" t="s">
        <v>242</v>
      </c>
      <c r="H244" t="s">
        <v>295</v>
      </c>
      <c r="I244" t="s">
        <v>20</v>
      </c>
      <c r="J244" t="s">
        <v>254</v>
      </c>
    </row>
    <row r="245" spans="1:10">
      <c r="A245">
        <v>1399</v>
      </c>
      <c r="B245">
        <v>46199</v>
      </c>
      <c r="C245" t="s">
        <v>63</v>
      </c>
      <c r="D245" t="s">
        <v>60</v>
      </c>
      <c r="E245">
        <v>1</v>
      </c>
      <c r="F245">
        <v>4</v>
      </c>
      <c r="G245" t="s">
        <v>242</v>
      </c>
      <c r="H245" t="s">
        <v>296</v>
      </c>
      <c r="I245" t="s">
        <v>193</v>
      </c>
      <c r="J245" t="s">
        <v>254</v>
      </c>
    </row>
    <row r="246" spans="1:10">
      <c r="A246">
        <v>1400</v>
      </c>
      <c r="B246">
        <v>46199</v>
      </c>
      <c r="C246" t="s">
        <v>61</v>
      </c>
      <c r="D246" t="s">
        <v>62</v>
      </c>
      <c r="E246">
        <v>5</v>
      </c>
      <c r="F246">
        <v>0</v>
      </c>
      <c r="G246" t="s">
        <v>242</v>
      </c>
      <c r="H246" t="s">
        <v>315</v>
      </c>
      <c r="I246" t="s">
        <v>25</v>
      </c>
      <c r="J246" t="s">
        <v>254</v>
      </c>
    </row>
    <row r="247" spans="1:10">
      <c r="A247">
        <v>1401</v>
      </c>
      <c r="B247">
        <v>46200</v>
      </c>
      <c r="C247" t="s">
        <v>66</v>
      </c>
      <c r="D247" t="s">
        <v>67</v>
      </c>
      <c r="E247">
        <v>3</v>
      </c>
      <c r="F247">
        <v>3</v>
      </c>
      <c r="G247" t="s">
        <v>242</v>
      </c>
      <c r="H247" t="s">
        <v>376</v>
      </c>
      <c r="I247" t="s">
        <v>193</v>
      </c>
      <c r="J247" t="s">
        <v>254</v>
      </c>
    </row>
    <row r="248" spans="1:10">
      <c r="A248">
        <v>1402</v>
      </c>
      <c r="B248">
        <v>46200</v>
      </c>
      <c r="C248" t="s">
        <v>68</v>
      </c>
      <c r="D248" t="s">
        <v>65</v>
      </c>
      <c r="E248">
        <v>1</v>
      </c>
      <c r="F248">
        <v>3</v>
      </c>
      <c r="G248" t="s">
        <v>242</v>
      </c>
      <c r="H248" t="s">
        <v>384</v>
      </c>
      <c r="I248" t="s">
        <v>193</v>
      </c>
      <c r="J248" t="s">
        <v>254</v>
      </c>
    </row>
    <row r="249" spans="1:10">
      <c r="A249">
        <v>1403</v>
      </c>
      <c r="B249">
        <v>46200</v>
      </c>
      <c r="C249" t="s">
        <v>78</v>
      </c>
      <c r="D249" t="s">
        <v>75</v>
      </c>
      <c r="E249">
        <v>0</v>
      </c>
      <c r="F249">
        <v>0</v>
      </c>
      <c r="G249" t="s">
        <v>242</v>
      </c>
      <c r="H249" t="s">
        <v>386</v>
      </c>
      <c r="I249" t="s">
        <v>193</v>
      </c>
      <c r="J249" t="s">
        <v>254</v>
      </c>
    </row>
    <row r="250" spans="1:10">
      <c r="A250">
        <v>1404</v>
      </c>
      <c r="B250">
        <v>46200</v>
      </c>
      <c r="C250" t="s">
        <v>240</v>
      </c>
      <c r="D250" t="s">
        <v>77</v>
      </c>
      <c r="E250">
        <v>3</v>
      </c>
      <c r="F250">
        <v>1</v>
      </c>
      <c r="G250" t="s">
        <v>242</v>
      </c>
      <c r="H250" t="s">
        <v>319</v>
      </c>
      <c r="I250" t="s">
        <v>193</v>
      </c>
      <c r="J250" t="s">
        <v>254</v>
      </c>
    </row>
    <row r="251" spans="1:10">
      <c r="A251">
        <v>1405</v>
      </c>
      <c r="B251">
        <v>46200</v>
      </c>
      <c r="C251" t="s">
        <v>71</v>
      </c>
      <c r="D251" t="s">
        <v>72</v>
      </c>
      <c r="E251">
        <v>0</v>
      </c>
      <c r="F251">
        <v>2</v>
      </c>
      <c r="G251" t="s">
        <v>242</v>
      </c>
      <c r="H251" t="s">
        <v>380</v>
      </c>
      <c r="I251" t="s">
        <v>193</v>
      </c>
      <c r="J251" t="s">
        <v>254</v>
      </c>
    </row>
    <row r="252" spans="1:10">
      <c r="A252">
        <v>1406</v>
      </c>
      <c r="B252">
        <v>46200</v>
      </c>
      <c r="C252" t="s">
        <v>73</v>
      </c>
      <c r="D252" t="s">
        <v>70</v>
      </c>
      <c r="E252">
        <v>2</v>
      </c>
      <c r="F252">
        <v>1</v>
      </c>
      <c r="G252" t="s">
        <v>242</v>
      </c>
      <c r="H252" t="s">
        <v>383</v>
      </c>
      <c r="I252" t="s">
        <v>193</v>
      </c>
      <c r="J252" t="s">
        <v>254</v>
      </c>
    </row>
    <row r="253" spans="1:10">
      <c r="A253">
        <v>1407</v>
      </c>
      <c r="B253">
        <v>46201</v>
      </c>
      <c r="C253" t="s">
        <v>21</v>
      </c>
      <c r="D253" t="s">
        <v>25</v>
      </c>
      <c r="E253">
        <v>0</v>
      </c>
      <c r="F253">
        <v>1</v>
      </c>
      <c r="G253" t="s">
        <v>242</v>
      </c>
      <c r="H253" t="s">
        <v>378</v>
      </c>
      <c r="I253" t="s">
        <v>193</v>
      </c>
      <c r="J253" t="s">
        <v>254</v>
      </c>
    </row>
    <row r="254" spans="1:10">
      <c r="A254">
        <v>1408</v>
      </c>
      <c r="B254">
        <v>46202</v>
      </c>
      <c r="C254" t="s">
        <v>35</v>
      </c>
      <c r="D254" t="s">
        <v>46</v>
      </c>
      <c r="E254">
        <v>2</v>
      </c>
      <c r="F254">
        <v>1</v>
      </c>
      <c r="G254" t="s">
        <v>242</v>
      </c>
      <c r="H254" t="s">
        <v>382</v>
      </c>
      <c r="I254" t="s">
        <v>193</v>
      </c>
      <c r="J254" t="s">
        <v>254</v>
      </c>
    </row>
    <row r="255" spans="1:10">
      <c r="A255">
        <v>1409</v>
      </c>
      <c r="B255">
        <v>46202</v>
      </c>
      <c r="C255" t="s">
        <v>42</v>
      </c>
      <c r="D255" t="s">
        <v>29</v>
      </c>
      <c r="E255">
        <v>1</v>
      </c>
      <c r="F255">
        <v>1</v>
      </c>
      <c r="G255" t="s">
        <v>242</v>
      </c>
      <c r="H255" t="s">
        <v>296</v>
      </c>
      <c r="I255" t="s">
        <v>193</v>
      </c>
      <c r="J255" t="s">
        <v>254</v>
      </c>
    </row>
    <row r="256" spans="1:10">
      <c r="A256">
        <v>1410</v>
      </c>
      <c r="B256">
        <v>46202</v>
      </c>
      <c r="C256" t="s">
        <v>45</v>
      </c>
      <c r="D256" t="s">
        <v>36</v>
      </c>
      <c r="E256">
        <v>1</v>
      </c>
      <c r="F256">
        <v>1</v>
      </c>
      <c r="G256" t="s">
        <v>242</v>
      </c>
      <c r="H256" t="s">
        <v>332</v>
      </c>
      <c r="I256" t="s">
        <v>20</v>
      </c>
      <c r="J256" t="s">
        <v>254</v>
      </c>
    </row>
    <row r="257" spans="1:10">
      <c r="A257">
        <v>1411</v>
      </c>
      <c r="B257">
        <v>46203</v>
      </c>
      <c r="C257" t="s">
        <v>180</v>
      </c>
      <c r="D257" t="s">
        <v>63</v>
      </c>
      <c r="E257">
        <v>1</v>
      </c>
      <c r="F257">
        <v>2</v>
      </c>
      <c r="G257" t="s">
        <v>242</v>
      </c>
      <c r="H257" t="s">
        <v>384</v>
      </c>
      <c r="I257" t="s">
        <v>193</v>
      </c>
      <c r="J257" t="s">
        <v>254</v>
      </c>
    </row>
    <row r="258" spans="1:10">
      <c r="A258">
        <v>1412</v>
      </c>
      <c r="B258">
        <v>46203</v>
      </c>
      <c r="C258" t="s">
        <v>60</v>
      </c>
      <c r="D258" t="s">
        <v>47</v>
      </c>
      <c r="E258">
        <v>3</v>
      </c>
      <c r="F258">
        <v>0</v>
      </c>
      <c r="G258" t="s">
        <v>242</v>
      </c>
      <c r="H258" t="s">
        <v>380</v>
      </c>
      <c r="I258" t="s">
        <v>193</v>
      </c>
      <c r="J258" t="s">
        <v>254</v>
      </c>
    </row>
    <row r="259" spans="1:10">
      <c r="A259">
        <v>1413</v>
      </c>
      <c r="B259">
        <v>46203</v>
      </c>
      <c r="C259" t="s">
        <v>20</v>
      </c>
      <c r="D259" t="s">
        <v>41</v>
      </c>
      <c r="E259">
        <v>2</v>
      </c>
      <c r="F259">
        <v>0</v>
      </c>
      <c r="G259" t="s">
        <v>242</v>
      </c>
      <c r="H259" t="s">
        <v>317</v>
      </c>
      <c r="I259" t="s">
        <v>20</v>
      </c>
      <c r="J259" t="s">
        <v>256</v>
      </c>
    </row>
    <row r="260" spans="1:10">
      <c r="A260">
        <v>1414</v>
      </c>
      <c r="B260">
        <v>46204</v>
      </c>
      <c r="C260" t="s">
        <v>72</v>
      </c>
      <c r="D260" t="s">
        <v>240</v>
      </c>
      <c r="E260">
        <v>2</v>
      </c>
      <c r="F260">
        <v>1</v>
      </c>
      <c r="G260" t="s">
        <v>242</v>
      </c>
      <c r="H260" t="s">
        <v>319</v>
      </c>
      <c r="I260" t="s">
        <v>193</v>
      </c>
      <c r="J260" t="s">
        <v>254</v>
      </c>
    </row>
    <row r="261" spans="1:10">
      <c r="A261">
        <v>1415</v>
      </c>
      <c r="B261">
        <v>46204</v>
      </c>
      <c r="C261" t="s">
        <v>57</v>
      </c>
      <c r="D261" t="s">
        <v>61</v>
      </c>
      <c r="E261">
        <v>3</v>
      </c>
      <c r="F261">
        <v>2</v>
      </c>
      <c r="G261" t="s">
        <v>242</v>
      </c>
      <c r="H261" t="s">
        <v>385</v>
      </c>
      <c r="I261" t="s">
        <v>193</v>
      </c>
      <c r="J261" t="s">
        <v>254</v>
      </c>
    </row>
    <row r="262" spans="1:10">
      <c r="A262">
        <v>1416</v>
      </c>
      <c r="B262">
        <v>46204</v>
      </c>
      <c r="C262" t="s">
        <v>193</v>
      </c>
      <c r="D262" t="s">
        <v>26</v>
      </c>
      <c r="E262">
        <v>2</v>
      </c>
      <c r="F262">
        <v>0</v>
      </c>
      <c r="G262" t="s">
        <v>242</v>
      </c>
      <c r="H262" t="s">
        <v>379</v>
      </c>
      <c r="I262" t="s">
        <v>193</v>
      </c>
      <c r="J262" t="s">
        <v>256</v>
      </c>
    </row>
    <row r="263" spans="1:10">
      <c r="A263">
        <v>1417</v>
      </c>
      <c r="B263">
        <v>46205</v>
      </c>
      <c r="C263" t="s">
        <v>52</v>
      </c>
      <c r="D263" t="s">
        <v>67</v>
      </c>
      <c r="E263">
        <v>3</v>
      </c>
      <c r="F263">
        <v>0</v>
      </c>
      <c r="G263" t="s">
        <v>242</v>
      </c>
      <c r="H263" t="s">
        <v>378</v>
      </c>
      <c r="I263" t="s">
        <v>193</v>
      </c>
      <c r="J263" t="s">
        <v>254</v>
      </c>
    </row>
    <row r="264" spans="1:10">
      <c r="A264">
        <v>1418</v>
      </c>
      <c r="B264">
        <v>46205</v>
      </c>
      <c r="C264" t="s">
        <v>75</v>
      </c>
      <c r="D264" t="s">
        <v>73</v>
      </c>
      <c r="E264">
        <v>2</v>
      </c>
      <c r="F264">
        <v>1</v>
      </c>
      <c r="G264" t="s">
        <v>242</v>
      </c>
      <c r="H264" t="s">
        <v>315</v>
      </c>
      <c r="I264" t="s">
        <v>25</v>
      </c>
      <c r="J264" t="s">
        <v>254</v>
      </c>
    </row>
    <row r="265" spans="1:10">
      <c r="A265">
        <v>1419</v>
      </c>
      <c r="B265">
        <v>46205</v>
      </c>
      <c r="C265" t="s">
        <v>38</v>
      </c>
      <c r="D265" t="s">
        <v>66</v>
      </c>
      <c r="E265">
        <v>2</v>
      </c>
      <c r="F265">
        <v>0</v>
      </c>
      <c r="G265" t="s">
        <v>242</v>
      </c>
      <c r="H265" t="s">
        <v>381</v>
      </c>
      <c r="I265" t="s">
        <v>25</v>
      </c>
      <c r="J265" t="s">
        <v>254</v>
      </c>
    </row>
    <row r="266" spans="1:10">
      <c r="A266">
        <v>1420</v>
      </c>
      <c r="B266">
        <v>46206</v>
      </c>
      <c r="C266" t="s">
        <v>33</v>
      </c>
      <c r="D266" t="s">
        <v>58</v>
      </c>
      <c r="E266">
        <v>1</v>
      </c>
      <c r="F266">
        <v>1</v>
      </c>
      <c r="G266" t="s">
        <v>242</v>
      </c>
      <c r="H266" t="s">
        <v>384</v>
      </c>
      <c r="I266" t="s">
        <v>193</v>
      </c>
      <c r="J266" t="s">
        <v>254</v>
      </c>
    </row>
    <row r="267" spans="1:10">
      <c r="A267">
        <v>1421</v>
      </c>
      <c r="B267">
        <v>46206</v>
      </c>
      <c r="C267" t="s">
        <v>65</v>
      </c>
      <c r="D267" t="s">
        <v>217</v>
      </c>
      <c r="E267">
        <v>3</v>
      </c>
      <c r="F267">
        <v>2</v>
      </c>
      <c r="G267" t="s">
        <v>242</v>
      </c>
      <c r="H267" t="s">
        <v>386</v>
      </c>
      <c r="I267" t="s">
        <v>193</v>
      </c>
      <c r="J267" t="s">
        <v>254</v>
      </c>
    </row>
    <row r="268" spans="1:10">
      <c r="A268">
        <v>1422</v>
      </c>
      <c r="B268">
        <v>46206</v>
      </c>
      <c r="C268" t="s">
        <v>78</v>
      </c>
      <c r="D268" t="s">
        <v>70</v>
      </c>
      <c r="E268">
        <v>1</v>
      </c>
      <c r="F268">
        <v>0</v>
      </c>
      <c r="G268" t="s">
        <v>242</v>
      </c>
      <c r="H268" t="s">
        <v>376</v>
      </c>
      <c r="I268" t="s">
        <v>193</v>
      </c>
      <c r="J268" t="s">
        <v>254</v>
      </c>
    </row>
    <row r="269" spans="1:10">
      <c r="A269">
        <v>1423</v>
      </c>
      <c r="B269">
        <v>46207</v>
      </c>
      <c r="C269" t="s">
        <v>25</v>
      </c>
      <c r="D269" t="s">
        <v>36</v>
      </c>
      <c r="E269">
        <v>0</v>
      </c>
      <c r="F269">
        <v>3</v>
      </c>
      <c r="G269" t="s">
        <v>242</v>
      </c>
      <c r="H269" t="s">
        <v>382</v>
      </c>
      <c r="I269" t="s">
        <v>193</v>
      </c>
      <c r="J269" t="s">
        <v>254</v>
      </c>
    </row>
    <row r="270" spans="1:10">
      <c r="A270">
        <v>1424</v>
      </c>
      <c r="B270">
        <v>46207</v>
      </c>
      <c r="C270" t="s">
        <v>29</v>
      </c>
      <c r="D270" t="s">
        <v>60</v>
      </c>
      <c r="E270">
        <v>0</v>
      </c>
      <c r="F270">
        <v>1</v>
      </c>
      <c r="G270" t="s">
        <v>242</v>
      </c>
      <c r="H270" t="s">
        <v>383</v>
      </c>
      <c r="I270" t="s">
        <v>193</v>
      </c>
      <c r="J270" t="s">
        <v>254</v>
      </c>
    </row>
    <row r="271" spans="1:10">
      <c r="A271">
        <v>1425</v>
      </c>
      <c r="B271">
        <v>46208</v>
      </c>
      <c r="C271" t="s">
        <v>35</v>
      </c>
      <c r="D271" t="s">
        <v>63</v>
      </c>
      <c r="E271">
        <v>1</v>
      </c>
      <c r="F271">
        <v>2</v>
      </c>
      <c r="G271" t="s">
        <v>242</v>
      </c>
      <c r="H271" t="s">
        <v>380</v>
      </c>
      <c r="I271" t="s">
        <v>193</v>
      </c>
      <c r="J271" t="s">
        <v>254</v>
      </c>
    </row>
    <row r="272" spans="1:10">
      <c r="A272">
        <v>1426</v>
      </c>
      <c r="B272">
        <v>46208</v>
      </c>
      <c r="C272" t="s">
        <v>20</v>
      </c>
      <c r="D272" t="s">
        <v>72</v>
      </c>
      <c r="E272">
        <v>2</v>
      </c>
      <c r="F272">
        <v>3</v>
      </c>
      <c r="G272" t="s">
        <v>242</v>
      </c>
      <c r="H272" t="s">
        <v>317</v>
      </c>
      <c r="I272" t="s">
        <v>20</v>
      </c>
      <c r="J272" t="s">
        <v>256</v>
      </c>
    </row>
    <row r="273" spans="1:10">
      <c r="A273">
        <v>1427</v>
      </c>
      <c r="B273">
        <v>46209</v>
      </c>
      <c r="C273" t="s">
        <v>75</v>
      </c>
      <c r="D273" t="s">
        <v>52</v>
      </c>
      <c r="E273">
        <v>0</v>
      </c>
      <c r="F273">
        <v>1</v>
      </c>
      <c r="G273" t="s">
        <v>242</v>
      </c>
      <c r="H273" t="s">
        <v>387</v>
      </c>
      <c r="I273" t="s">
        <v>193</v>
      </c>
      <c r="J273" t="s">
        <v>254</v>
      </c>
    </row>
    <row r="274" spans="1:10">
      <c r="A274">
        <v>1428</v>
      </c>
      <c r="B274">
        <v>46209</v>
      </c>
      <c r="C274" t="s">
        <v>193</v>
      </c>
      <c r="D274" t="s">
        <v>57</v>
      </c>
      <c r="E274">
        <v>1</v>
      </c>
      <c r="F274">
        <v>4</v>
      </c>
      <c r="G274" t="s">
        <v>242</v>
      </c>
      <c r="H274" t="s">
        <v>385</v>
      </c>
      <c r="I274" t="s">
        <v>193</v>
      </c>
      <c r="J274" t="s">
        <v>256</v>
      </c>
    </row>
    <row r="275" spans="1:10">
      <c r="A275">
        <v>1429</v>
      </c>
      <c r="B275">
        <v>46210</v>
      </c>
      <c r="C275" t="s">
        <v>65</v>
      </c>
      <c r="D275" t="s">
        <v>58</v>
      </c>
      <c r="E275">
        <v>3</v>
      </c>
      <c r="F275">
        <v>2</v>
      </c>
      <c r="G275" t="s">
        <v>242</v>
      </c>
      <c r="H275" t="s">
        <v>319</v>
      </c>
      <c r="I275" t="s">
        <v>193</v>
      </c>
      <c r="J275" t="s">
        <v>254</v>
      </c>
    </row>
    <row r="276" spans="1:10">
      <c r="A276">
        <v>1430</v>
      </c>
      <c r="B276">
        <v>46210</v>
      </c>
      <c r="C276" t="s">
        <v>38</v>
      </c>
      <c r="D276" t="s">
        <v>78</v>
      </c>
      <c r="E276">
        <v>0</v>
      </c>
      <c r="F276">
        <v>0</v>
      </c>
      <c r="G276" t="s">
        <v>242</v>
      </c>
      <c r="H276" t="s">
        <v>381</v>
      </c>
      <c r="I276" t="s">
        <v>25</v>
      </c>
      <c r="J276" t="s">
        <v>254</v>
      </c>
    </row>
    <row r="277" spans="1:10">
      <c r="A277">
        <v>1431</v>
      </c>
      <c r="B277">
        <v>46212</v>
      </c>
      <c r="C277" t="s">
        <v>60</v>
      </c>
      <c r="D277" t="s">
        <v>36</v>
      </c>
      <c r="E277">
        <v>2</v>
      </c>
      <c r="F277">
        <v>0</v>
      </c>
      <c r="G277" t="s">
        <v>242</v>
      </c>
      <c r="H277" t="s">
        <v>296</v>
      </c>
      <c r="I277" t="s">
        <v>193</v>
      </c>
      <c r="J277" t="s">
        <v>254</v>
      </c>
    </row>
    <row r="278" spans="1:10">
      <c r="A278">
        <v>1432</v>
      </c>
      <c r="B278">
        <v>46213</v>
      </c>
      <c r="C278" t="s">
        <v>52</v>
      </c>
      <c r="D278" t="s">
        <v>57</v>
      </c>
      <c r="E278">
        <v>2</v>
      </c>
      <c r="F278">
        <v>1</v>
      </c>
      <c r="G278" t="s">
        <v>242</v>
      </c>
      <c r="H278" t="s">
        <v>378</v>
      </c>
      <c r="I278" t="s">
        <v>193</v>
      </c>
      <c r="J278" t="s">
        <v>254</v>
      </c>
    </row>
    <row r="279" spans="1:10">
      <c r="A279">
        <v>1433</v>
      </c>
      <c r="B279">
        <v>46214</v>
      </c>
      <c r="C279" t="s">
        <v>63</v>
      </c>
      <c r="D279" t="s">
        <v>72</v>
      </c>
      <c r="E279">
        <v>1</v>
      </c>
      <c r="F279">
        <v>2</v>
      </c>
      <c r="G279" t="s">
        <v>242</v>
      </c>
      <c r="H279" t="s">
        <v>386</v>
      </c>
      <c r="I279" t="s">
        <v>193</v>
      </c>
      <c r="J279" t="s">
        <v>254</v>
      </c>
    </row>
    <row r="280" spans="1:10">
      <c r="A280">
        <v>1434</v>
      </c>
      <c r="B280">
        <v>46214</v>
      </c>
      <c r="C280" t="s">
        <v>65</v>
      </c>
      <c r="D280" t="s">
        <v>38</v>
      </c>
      <c r="E280">
        <v>3</v>
      </c>
      <c r="F280">
        <v>1</v>
      </c>
      <c r="G280" t="s">
        <v>242</v>
      </c>
      <c r="H280" t="s">
        <v>376</v>
      </c>
      <c r="I280" t="s">
        <v>193</v>
      </c>
      <c r="J280" t="s">
        <v>254</v>
      </c>
    </row>
    <row r="281" spans="1:10">
      <c r="A281">
        <v>1435</v>
      </c>
      <c r="B281">
        <v>46217</v>
      </c>
      <c r="C281" t="s">
        <v>60</v>
      </c>
      <c r="D281" t="s">
        <v>52</v>
      </c>
      <c r="E281">
        <v>0</v>
      </c>
      <c r="F281">
        <v>2</v>
      </c>
      <c r="G281" t="s">
        <v>242</v>
      </c>
      <c r="H281" t="s">
        <v>384</v>
      </c>
      <c r="I281" t="s">
        <v>193</v>
      </c>
      <c r="J281" t="s">
        <v>254</v>
      </c>
    </row>
    <row r="282" spans="1:10">
      <c r="A282">
        <v>1436</v>
      </c>
      <c r="B282">
        <v>46218</v>
      </c>
      <c r="C282" t="s">
        <v>72</v>
      </c>
      <c r="D282" t="s">
        <v>65</v>
      </c>
      <c r="E282">
        <v>1</v>
      </c>
      <c r="F282">
        <v>2</v>
      </c>
      <c r="G282" t="s">
        <v>242</v>
      </c>
      <c r="H282" t="s">
        <v>319</v>
      </c>
      <c r="I282" t="s">
        <v>193</v>
      </c>
      <c r="J282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>
      <pane ySplit="1" topLeftCell="A9" activePane="bottomLeft" state="frozen"/>
      <selection pane="bottomLeft" activeCell="B29" sqref="B29"/>
    </sheetView>
  </sheetViews>
  <sheetFormatPr defaultRowHeight="14.25"/>
  <cols>
    <col min="1" max="1" width="24" customWidth="1"/>
    <col min="2" max="2" width="82" customWidth="1"/>
  </cols>
  <sheetData>
    <row r="1" spans="1:2" ht="26.1" customHeight="1">
      <c r="A1" s="15" t="s">
        <v>90</v>
      </c>
      <c r="B1" s="18" t="s">
        <v>91</v>
      </c>
    </row>
    <row r="2" spans="1:2">
      <c r="A2" t="s">
        <v>92</v>
      </c>
      <c r="B2" s="7" t="s">
        <v>93</v>
      </c>
    </row>
    <row r="3" spans="1:2">
      <c r="A3" t="s">
        <v>94</v>
      </c>
      <c r="B3" s="7" t="s">
        <v>95</v>
      </c>
    </row>
    <row r="4" spans="1:2" ht="28.5">
      <c r="A4" t="s">
        <v>96</v>
      </c>
      <c r="B4" s="7" t="s">
        <v>97</v>
      </c>
    </row>
    <row r="5" spans="1:2">
      <c r="A5" t="s">
        <v>98</v>
      </c>
      <c r="B5" s="7" t="s">
        <v>99</v>
      </c>
    </row>
    <row r="6" spans="1:2">
      <c r="A6" t="s">
        <v>100</v>
      </c>
      <c r="B6" s="7" t="s">
        <v>101</v>
      </c>
    </row>
    <row r="7" spans="1:2">
      <c r="A7" t="s">
        <v>102</v>
      </c>
      <c r="B7" s="7" t="s">
        <v>103</v>
      </c>
    </row>
    <row r="8" spans="1:2">
      <c r="A8" t="s">
        <v>104</v>
      </c>
      <c r="B8" s="7" t="s">
        <v>105</v>
      </c>
    </row>
    <row r="9" spans="1:2" ht="28.5">
      <c r="A9" t="s">
        <v>106</v>
      </c>
      <c r="B9" s="7" t="s">
        <v>107</v>
      </c>
    </row>
    <row r="10" spans="1:2" ht="28.5">
      <c r="A10" t="s">
        <v>108</v>
      </c>
      <c r="B10" s="7" t="s">
        <v>109</v>
      </c>
    </row>
    <row r="11" spans="1:2" ht="28.5">
      <c r="A11" t="s">
        <v>0</v>
      </c>
      <c r="B11" s="7" t="s">
        <v>110</v>
      </c>
    </row>
    <row r="12" spans="1:2">
      <c r="A12" t="s">
        <v>111</v>
      </c>
      <c r="B12" s="7" t="s">
        <v>112</v>
      </c>
    </row>
    <row r="13" spans="1:2" ht="28.5">
      <c r="A13" t="s">
        <v>113</v>
      </c>
      <c r="B13" s="7" t="s">
        <v>114</v>
      </c>
    </row>
    <row r="14" spans="1:2" ht="28.5">
      <c r="A14" t="s">
        <v>115</v>
      </c>
      <c r="B14" s="7" t="s">
        <v>116</v>
      </c>
    </row>
    <row r="15" spans="1:2">
      <c r="A15" t="s">
        <v>117</v>
      </c>
      <c r="B15" s="7" t="s">
        <v>118</v>
      </c>
    </row>
    <row r="16" spans="1:2" ht="28.5">
      <c r="A16" t="s">
        <v>119</v>
      </c>
      <c r="B16" s="7" t="s">
        <v>120</v>
      </c>
    </row>
    <row r="17" spans="1:2" ht="28.5">
      <c r="A17" t="s">
        <v>121</v>
      </c>
      <c r="B17" s="7" t="s">
        <v>122</v>
      </c>
    </row>
    <row r="18" spans="1:2" ht="28.5">
      <c r="A18" t="s">
        <v>388</v>
      </c>
      <c r="B18" s="7" t="s">
        <v>389</v>
      </c>
    </row>
    <row r="19" spans="1:2" ht="28.5">
      <c r="A19" t="s">
        <v>390</v>
      </c>
      <c r="B19" s="7" t="s">
        <v>391</v>
      </c>
    </row>
    <row r="20" spans="1:2" ht="28.5">
      <c r="A20" t="s">
        <v>392</v>
      </c>
      <c r="B20" s="7" t="s">
        <v>393</v>
      </c>
    </row>
    <row r="21" spans="1:2" ht="28.5">
      <c r="A21" t="s">
        <v>394</v>
      </c>
      <c r="B21" s="7" t="s">
        <v>395</v>
      </c>
    </row>
    <row r="22" spans="1:2" ht="28.5">
      <c r="A22" t="s">
        <v>396</v>
      </c>
      <c r="B22" s="7" t="s">
        <v>397</v>
      </c>
    </row>
    <row r="23" spans="1:2" ht="28.5">
      <c r="A23" t="s">
        <v>398</v>
      </c>
      <c r="B23" s="7" t="s">
        <v>399</v>
      </c>
    </row>
    <row r="24" spans="1:2" ht="28.5">
      <c r="A24" t="s">
        <v>400</v>
      </c>
      <c r="B24" s="7" t="s">
        <v>401</v>
      </c>
    </row>
    <row r="25" spans="1:2" ht="28.5">
      <c r="A25" t="s">
        <v>402</v>
      </c>
      <c r="B25" s="7" t="s">
        <v>403</v>
      </c>
    </row>
    <row r="26" spans="1:2" ht="28.5">
      <c r="A26" t="s">
        <v>404</v>
      </c>
      <c r="B26" s="7" t="s">
        <v>405</v>
      </c>
    </row>
    <row r="27" spans="1:2" ht="28.5">
      <c r="A27" t="s">
        <v>406</v>
      </c>
      <c r="B27" s="7" t="s">
        <v>407</v>
      </c>
    </row>
    <row r="28" spans="1:2" ht="28.5">
      <c r="A28" t="s">
        <v>408</v>
      </c>
      <c r="B28" s="7" t="s">
        <v>409</v>
      </c>
    </row>
    <row r="29" spans="1:2" ht="28.5">
      <c r="A29" t="s">
        <v>410</v>
      </c>
      <c r="B29" s="7" t="s">
        <v>411</v>
      </c>
    </row>
    <row r="30" spans="1:2" ht="28.5">
      <c r="A30" t="s">
        <v>412</v>
      </c>
      <c r="B30" s="7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1"/>
  <sheetViews>
    <sheetView workbookViewId="0">
      <pane ySplit="1" topLeftCell="A6" activePane="bottomLeft" state="frozen"/>
      <selection pane="bottomLeft"/>
    </sheetView>
  </sheetViews>
  <sheetFormatPr defaultRowHeight="14.25"/>
  <cols>
    <col min="1" max="1" width="16" customWidth="1"/>
    <col min="2" max="3" width="24" customWidth="1"/>
    <col min="4" max="5" width="66" customWidth="1"/>
    <col min="6" max="15" width="18" customWidth="1"/>
  </cols>
  <sheetData>
    <row r="1" spans="1:15" ht="26.1" customHeight="1">
      <c r="A1" s="15" t="s">
        <v>0</v>
      </c>
      <c r="B1" s="15" t="s">
        <v>4</v>
      </c>
      <c r="C1" s="15" t="s">
        <v>5</v>
      </c>
      <c r="D1" s="15" t="s">
        <v>414</v>
      </c>
      <c r="E1" s="15" t="s">
        <v>415</v>
      </c>
      <c r="F1" s="15" t="s">
        <v>416</v>
      </c>
      <c r="G1" s="15" t="s">
        <v>417</v>
      </c>
      <c r="H1" s="15" t="s">
        <v>418</v>
      </c>
      <c r="I1" s="15" t="s">
        <v>419</v>
      </c>
      <c r="J1" s="15" t="s">
        <v>420</v>
      </c>
      <c r="K1" s="15" t="s">
        <v>421</v>
      </c>
      <c r="L1" s="15" t="s">
        <v>422</v>
      </c>
      <c r="M1" s="15" t="s">
        <v>423</v>
      </c>
      <c r="N1" s="15" t="s">
        <v>424</v>
      </c>
      <c r="O1" s="15" t="s">
        <v>425</v>
      </c>
    </row>
    <row r="2" spans="1:15" ht="28.5">
      <c r="A2">
        <v>1</v>
      </c>
      <c r="B2" t="s">
        <v>20</v>
      </c>
      <c r="C2" t="s">
        <v>21</v>
      </c>
      <c r="D2" s="7" t="s">
        <v>426</v>
      </c>
      <c r="E2" s="7" t="s">
        <v>427</v>
      </c>
      <c r="F2">
        <v>2</v>
      </c>
      <c r="G2">
        <v>5</v>
      </c>
      <c r="H2">
        <v>0.4</v>
      </c>
      <c r="I2">
        <v>1</v>
      </c>
      <c r="J2">
        <v>-0.6</v>
      </c>
      <c r="K2">
        <v>3</v>
      </c>
      <c r="L2">
        <v>2</v>
      </c>
      <c r="M2">
        <v>0.6</v>
      </c>
      <c r="N2">
        <v>0.4</v>
      </c>
      <c r="O2">
        <v>0.19999999999999996</v>
      </c>
    </row>
    <row r="3" spans="1:15" ht="28.5">
      <c r="A3">
        <v>2</v>
      </c>
      <c r="B3" t="s">
        <v>22</v>
      </c>
      <c r="C3" t="s">
        <v>23</v>
      </c>
      <c r="D3" s="7" t="s">
        <v>428</v>
      </c>
      <c r="E3" s="7" t="s">
        <v>429</v>
      </c>
      <c r="F3">
        <v>5</v>
      </c>
      <c r="G3">
        <v>6</v>
      </c>
      <c r="H3">
        <v>1</v>
      </c>
      <c r="I3">
        <v>1.2</v>
      </c>
      <c r="J3">
        <v>-0.19999999999999996</v>
      </c>
      <c r="K3">
        <v>3</v>
      </c>
      <c r="L3">
        <v>1</v>
      </c>
      <c r="M3">
        <v>0.6</v>
      </c>
      <c r="N3">
        <v>0.2</v>
      </c>
      <c r="O3">
        <v>0.39999999999999997</v>
      </c>
    </row>
    <row r="4" spans="1:15" ht="28.5">
      <c r="A4">
        <v>3</v>
      </c>
      <c r="B4" t="s">
        <v>25</v>
      </c>
      <c r="C4" t="s">
        <v>26</v>
      </c>
      <c r="D4" s="7" t="s">
        <v>430</v>
      </c>
      <c r="E4" s="7" t="s">
        <v>431</v>
      </c>
      <c r="F4">
        <v>3</v>
      </c>
      <c r="G4">
        <v>4</v>
      </c>
      <c r="H4">
        <v>0.6</v>
      </c>
      <c r="I4">
        <v>0.8</v>
      </c>
      <c r="J4">
        <v>-0.20000000000000007</v>
      </c>
      <c r="K4">
        <v>3</v>
      </c>
      <c r="L4">
        <v>1</v>
      </c>
      <c r="M4">
        <v>0.6</v>
      </c>
      <c r="N4">
        <v>0.2</v>
      </c>
      <c r="O4">
        <v>0.39999999999999997</v>
      </c>
    </row>
    <row r="5" spans="1:15" ht="28.5">
      <c r="A5">
        <v>4</v>
      </c>
      <c r="B5" t="s">
        <v>28</v>
      </c>
      <c r="C5" t="s">
        <v>29</v>
      </c>
      <c r="D5" s="7" t="s">
        <v>432</v>
      </c>
      <c r="E5" s="7" t="s">
        <v>433</v>
      </c>
      <c r="F5">
        <v>12</v>
      </c>
      <c r="G5">
        <v>5</v>
      </c>
      <c r="H5">
        <v>2.4</v>
      </c>
      <c r="I5">
        <v>1</v>
      </c>
      <c r="J5">
        <v>1.4</v>
      </c>
      <c r="K5">
        <v>0</v>
      </c>
      <c r="L5">
        <v>2</v>
      </c>
      <c r="M5">
        <v>0</v>
      </c>
      <c r="N5">
        <v>0.4</v>
      </c>
      <c r="O5">
        <v>-0.4</v>
      </c>
    </row>
    <row r="6" spans="1:15" ht="28.5">
      <c r="A6">
        <v>5</v>
      </c>
      <c r="B6" t="s">
        <v>31</v>
      </c>
      <c r="C6" t="s">
        <v>32</v>
      </c>
      <c r="D6" s="7" t="s">
        <v>434</v>
      </c>
      <c r="E6" s="7" t="s">
        <v>435</v>
      </c>
      <c r="F6">
        <v>4</v>
      </c>
      <c r="G6">
        <v>5</v>
      </c>
      <c r="H6">
        <v>0.8</v>
      </c>
      <c r="I6">
        <v>1</v>
      </c>
      <c r="J6">
        <v>-0.19999999999999996</v>
      </c>
      <c r="K6">
        <v>2</v>
      </c>
      <c r="L6">
        <v>1</v>
      </c>
      <c r="M6">
        <v>0.4</v>
      </c>
      <c r="N6">
        <v>0.2</v>
      </c>
      <c r="O6">
        <v>0.2</v>
      </c>
    </row>
    <row r="7" spans="1:15" ht="28.5">
      <c r="A7">
        <v>6</v>
      </c>
      <c r="B7" t="s">
        <v>33</v>
      </c>
      <c r="C7" t="s">
        <v>34</v>
      </c>
      <c r="D7" s="7" t="s">
        <v>436</v>
      </c>
      <c r="E7" s="7" t="s">
        <v>437</v>
      </c>
      <c r="F7">
        <v>6</v>
      </c>
      <c r="G7">
        <v>3</v>
      </c>
      <c r="H7">
        <v>1.2</v>
      </c>
      <c r="I7">
        <v>0.6</v>
      </c>
      <c r="J7">
        <v>0.6</v>
      </c>
      <c r="K7">
        <v>1</v>
      </c>
      <c r="L7">
        <v>3</v>
      </c>
      <c r="M7">
        <v>0.2</v>
      </c>
      <c r="N7">
        <v>0.6</v>
      </c>
      <c r="O7">
        <v>-0.39999999999999997</v>
      </c>
    </row>
    <row r="8" spans="1:15" ht="28.5">
      <c r="A8">
        <v>7</v>
      </c>
      <c r="B8" t="s">
        <v>35</v>
      </c>
      <c r="C8" t="s">
        <v>36</v>
      </c>
      <c r="D8" s="7" t="s">
        <v>438</v>
      </c>
      <c r="E8" s="7" t="s">
        <v>439</v>
      </c>
      <c r="F8">
        <v>7</v>
      </c>
      <c r="G8">
        <v>3</v>
      </c>
      <c r="H8">
        <v>1.4</v>
      </c>
      <c r="I8">
        <v>0.6</v>
      </c>
      <c r="J8">
        <v>0.79999999999999993</v>
      </c>
      <c r="K8">
        <v>0</v>
      </c>
      <c r="L8">
        <v>2</v>
      </c>
      <c r="M8">
        <v>0</v>
      </c>
      <c r="N8">
        <v>0.4</v>
      </c>
      <c r="O8">
        <v>-0.4</v>
      </c>
    </row>
    <row r="9" spans="1:15" ht="28.5">
      <c r="A9">
        <v>8</v>
      </c>
      <c r="B9" t="s">
        <v>37</v>
      </c>
      <c r="C9" t="s">
        <v>38</v>
      </c>
      <c r="D9" s="7" t="s">
        <v>440</v>
      </c>
      <c r="E9" s="7" t="s">
        <v>441</v>
      </c>
      <c r="F9">
        <v>6</v>
      </c>
      <c r="G9">
        <v>7</v>
      </c>
      <c r="H9">
        <v>1.2</v>
      </c>
      <c r="I9">
        <v>1.4</v>
      </c>
      <c r="J9">
        <v>-0.19999999999999996</v>
      </c>
      <c r="K9">
        <v>1</v>
      </c>
      <c r="L9">
        <v>1</v>
      </c>
      <c r="M9">
        <v>0.2</v>
      </c>
      <c r="N9">
        <v>0.2</v>
      </c>
      <c r="O9">
        <v>0</v>
      </c>
    </row>
    <row r="10" spans="1:15" ht="28.5">
      <c r="A10">
        <v>9</v>
      </c>
      <c r="B10" t="s">
        <v>40</v>
      </c>
      <c r="C10" t="s">
        <v>41</v>
      </c>
      <c r="D10" s="7" t="s">
        <v>442</v>
      </c>
      <c r="E10" s="7" t="s">
        <v>443</v>
      </c>
      <c r="F10">
        <v>4</v>
      </c>
      <c r="G10">
        <v>3</v>
      </c>
      <c r="H10">
        <v>0.8</v>
      </c>
      <c r="I10">
        <v>0.6</v>
      </c>
      <c r="J10">
        <v>0.20000000000000007</v>
      </c>
      <c r="K10">
        <v>3</v>
      </c>
      <c r="L10">
        <v>2</v>
      </c>
      <c r="M10">
        <v>0.6</v>
      </c>
      <c r="N10">
        <v>0.4</v>
      </c>
      <c r="O10">
        <v>0.19999999999999996</v>
      </c>
    </row>
    <row r="11" spans="1:15" ht="28.5">
      <c r="A11">
        <v>10</v>
      </c>
      <c r="B11" t="s">
        <v>42</v>
      </c>
      <c r="C11" t="s">
        <v>43</v>
      </c>
      <c r="D11" s="7" t="s">
        <v>444</v>
      </c>
      <c r="E11" s="7" t="s">
        <v>445</v>
      </c>
      <c r="F11">
        <v>5</v>
      </c>
      <c r="G11">
        <v>11</v>
      </c>
      <c r="H11">
        <v>1</v>
      </c>
      <c r="I11">
        <v>2.2000000000000002</v>
      </c>
      <c r="J11">
        <v>-1.2000000000000002</v>
      </c>
      <c r="K11">
        <v>2</v>
      </c>
      <c r="L11">
        <v>2</v>
      </c>
      <c r="M11">
        <v>0.4</v>
      </c>
      <c r="N11">
        <v>0.4</v>
      </c>
      <c r="O11">
        <v>0</v>
      </c>
    </row>
    <row r="12" spans="1:15" ht="28.5">
      <c r="A12">
        <v>11</v>
      </c>
      <c r="B12" t="s">
        <v>45</v>
      </c>
      <c r="C12" t="s">
        <v>46</v>
      </c>
      <c r="D12" s="7" t="s">
        <v>446</v>
      </c>
      <c r="E12" s="7" t="s">
        <v>447</v>
      </c>
      <c r="F12">
        <v>4</v>
      </c>
      <c r="G12">
        <v>0</v>
      </c>
      <c r="H12">
        <v>0.8</v>
      </c>
      <c r="I12">
        <v>0</v>
      </c>
      <c r="J12">
        <v>0.8</v>
      </c>
      <c r="K12">
        <v>1</v>
      </c>
      <c r="L12">
        <v>5</v>
      </c>
      <c r="M12">
        <v>0.2</v>
      </c>
      <c r="N12">
        <v>1</v>
      </c>
      <c r="O12">
        <v>-0.8</v>
      </c>
    </row>
    <row r="13" spans="1:15" ht="28.5">
      <c r="A13">
        <v>12</v>
      </c>
      <c r="B13" t="s">
        <v>47</v>
      </c>
      <c r="C13" t="s">
        <v>48</v>
      </c>
      <c r="D13" s="7" t="s">
        <v>448</v>
      </c>
      <c r="E13" s="7" t="s">
        <v>449</v>
      </c>
      <c r="F13">
        <v>9</v>
      </c>
      <c r="G13">
        <v>7</v>
      </c>
      <c r="H13">
        <v>1.8</v>
      </c>
      <c r="I13">
        <v>1.4</v>
      </c>
      <c r="J13">
        <v>0.40000000000000013</v>
      </c>
      <c r="K13">
        <v>0</v>
      </c>
      <c r="L13">
        <v>2</v>
      </c>
      <c r="M13">
        <v>0</v>
      </c>
      <c r="N13">
        <v>0.4</v>
      </c>
      <c r="O13">
        <v>-0.4</v>
      </c>
    </row>
    <row r="14" spans="1:15" ht="28.5">
      <c r="A14">
        <v>13</v>
      </c>
      <c r="B14" t="s">
        <v>50</v>
      </c>
      <c r="C14" t="s">
        <v>51</v>
      </c>
      <c r="D14" s="7" t="s">
        <v>450</v>
      </c>
      <c r="E14" s="7" t="s">
        <v>451</v>
      </c>
      <c r="F14">
        <v>8</v>
      </c>
      <c r="G14">
        <v>7</v>
      </c>
      <c r="H14">
        <v>1.6</v>
      </c>
      <c r="I14">
        <v>1.4</v>
      </c>
      <c r="J14">
        <v>0.20000000000000018</v>
      </c>
      <c r="K14">
        <v>2</v>
      </c>
      <c r="L14">
        <v>2</v>
      </c>
      <c r="M14">
        <v>0.4</v>
      </c>
      <c r="N14">
        <v>0.4</v>
      </c>
      <c r="O14">
        <v>0</v>
      </c>
    </row>
    <row r="15" spans="1:15" ht="28.5">
      <c r="A15">
        <v>14</v>
      </c>
      <c r="B15" t="s">
        <v>52</v>
      </c>
      <c r="C15" t="s">
        <v>53</v>
      </c>
      <c r="D15" s="7" t="s">
        <v>452</v>
      </c>
      <c r="E15" s="7" t="s">
        <v>453</v>
      </c>
      <c r="F15">
        <v>4</v>
      </c>
      <c r="G15">
        <v>9</v>
      </c>
      <c r="H15">
        <v>0.8</v>
      </c>
      <c r="I15">
        <v>1.8</v>
      </c>
      <c r="J15">
        <v>-1</v>
      </c>
      <c r="K15">
        <v>2</v>
      </c>
      <c r="L15">
        <v>1</v>
      </c>
      <c r="M15">
        <v>0.4</v>
      </c>
      <c r="N15">
        <v>0.2</v>
      </c>
      <c r="O15">
        <v>0.2</v>
      </c>
    </row>
    <row r="16" spans="1:15" ht="28.5">
      <c r="A16">
        <v>15</v>
      </c>
      <c r="B16" t="s">
        <v>55</v>
      </c>
      <c r="C16" t="s">
        <v>56</v>
      </c>
      <c r="D16" s="7" t="s">
        <v>454</v>
      </c>
      <c r="E16" s="7" t="s">
        <v>455</v>
      </c>
      <c r="F16">
        <v>3</v>
      </c>
      <c r="G16">
        <v>10</v>
      </c>
      <c r="H16">
        <v>0.6</v>
      </c>
      <c r="I16">
        <v>2</v>
      </c>
      <c r="J16">
        <v>-1.4</v>
      </c>
      <c r="K16">
        <v>3</v>
      </c>
      <c r="L16">
        <v>0</v>
      </c>
      <c r="M16">
        <v>0.6</v>
      </c>
      <c r="N16">
        <v>0</v>
      </c>
      <c r="O16">
        <v>0.6</v>
      </c>
    </row>
    <row r="17" spans="1:15" ht="28.5">
      <c r="A17">
        <v>16</v>
      </c>
      <c r="B17" t="s">
        <v>57</v>
      </c>
      <c r="C17" t="s">
        <v>58</v>
      </c>
      <c r="D17" s="7" t="s">
        <v>456</v>
      </c>
      <c r="E17" s="7" t="s">
        <v>457</v>
      </c>
      <c r="F17">
        <v>3</v>
      </c>
      <c r="G17">
        <v>2</v>
      </c>
      <c r="H17">
        <v>0.6</v>
      </c>
      <c r="I17">
        <v>0.4</v>
      </c>
      <c r="J17">
        <v>0.19999999999999996</v>
      </c>
      <c r="K17">
        <v>3</v>
      </c>
      <c r="L17">
        <v>4</v>
      </c>
      <c r="M17">
        <v>0.6</v>
      </c>
      <c r="N17">
        <v>0.8</v>
      </c>
      <c r="O17">
        <v>-0.20000000000000007</v>
      </c>
    </row>
    <row r="18" spans="1:15" ht="28.5">
      <c r="A18">
        <v>17</v>
      </c>
      <c r="B18" t="s">
        <v>60</v>
      </c>
      <c r="C18" t="s">
        <v>61</v>
      </c>
      <c r="D18" s="7" t="s">
        <v>458</v>
      </c>
      <c r="E18" s="7" t="s">
        <v>459</v>
      </c>
      <c r="F18">
        <v>6</v>
      </c>
      <c r="G18">
        <v>7</v>
      </c>
      <c r="H18">
        <v>1.2</v>
      </c>
      <c r="I18">
        <v>1.4</v>
      </c>
      <c r="J18">
        <v>-0.19999999999999996</v>
      </c>
      <c r="K18">
        <v>0</v>
      </c>
      <c r="L18">
        <v>2</v>
      </c>
      <c r="M18">
        <v>0</v>
      </c>
      <c r="N18">
        <v>0.4</v>
      </c>
      <c r="O18">
        <v>-0.4</v>
      </c>
    </row>
    <row r="19" spans="1:15" ht="28.5">
      <c r="A19">
        <v>18</v>
      </c>
      <c r="B19" t="s">
        <v>62</v>
      </c>
      <c r="C19" t="s">
        <v>63</v>
      </c>
      <c r="D19" s="7" t="s">
        <v>460</v>
      </c>
      <c r="E19" s="7" t="s">
        <v>461</v>
      </c>
      <c r="F19">
        <v>5</v>
      </c>
      <c r="G19">
        <v>5</v>
      </c>
      <c r="H19">
        <v>1</v>
      </c>
      <c r="I19">
        <v>1</v>
      </c>
      <c r="J19">
        <v>0</v>
      </c>
      <c r="K19">
        <v>1</v>
      </c>
      <c r="L19">
        <v>1</v>
      </c>
      <c r="M19">
        <v>0.2</v>
      </c>
      <c r="N19">
        <v>0.2</v>
      </c>
      <c r="O19">
        <v>0</v>
      </c>
    </row>
    <row r="20" spans="1:15" ht="28.5">
      <c r="A20">
        <v>19</v>
      </c>
      <c r="B20" t="s">
        <v>65</v>
      </c>
      <c r="C20" t="s">
        <v>66</v>
      </c>
      <c r="D20" s="7" t="s">
        <v>462</v>
      </c>
      <c r="E20" s="7" t="s">
        <v>463</v>
      </c>
      <c r="F20">
        <v>1</v>
      </c>
      <c r="G20">
        <v>2</v>
      </c>
      <c r="H20">
        <v>0.2</v>
      </c>
      <c r="I20">
        <v>0.4</v>
      </c>
      <c r="J20">
        <v>-0.2</v>
      </c>
      <c r="K20">
        <v>4</v>
      </c>
      <c r="L20">
        <v>4</v>
      </c>
      <c r="M20">
        <v>0.8</v>
      </c>
      <c r="N20">
        <v>0.8</v>
      </c>
      <c r="O20">
        <v>0</v>
      </c>
    </row>
    <row r="21" spans="1:15" ht="28.5">
      <c r="A21">
        <v>20</v>
      </c>
      <c r="B21" t="s">
        <v>67</v>
      </c>
      <c r="C21" t="s">
        <v>68</v>
      </c>
      <c r="D21" s="7" t="s">
        <v>464</v>
      </c>
      <c r="E21" s="7" t="s">
        <v>465</v>
      </c>
      <c r="F21">
        <v>2</v>
      </c>
      <c r="G21">
        <v>13</v>
      </c>
      <c r="H21">
        <v>0.4</v>
      </c>
      <c r="I21">
        <v>2.6</v>
      </c>
      <c r="J21">
        <v>-2.2000000000000002</v>
      </c>
      <c r="K21">
        <v>3</v>
      </c>
      <c r="L21">
        <v>0</v>
      </c>
      <c r="M21">
        <v>0.6</v>
      </c>
      <c r="N21">
        <v>0</v>
      </c>
      <c r="O21">
        <v>0.6</v>
      </c>
    </row>
    <row r="22" spans="1:15" ht="42.75">
      <c r="A22">
        <v>21</v>
      </c>
      <c r="B22" t="s">
        <v>70</v>
      </c>
      <c r="C22" t="s">
        <v>71</v>
      </c>
      <c r="D22" s="7" t="s">
        <v>466</v>
      </c>
      <c r="E22" s="7" t="s">
        <v>467</v>
      </c>
      <c r="F22">
        <v>11</v>
      </c>
      <c r="G22">
        <v>11</v>
      </c>
      <c r="H22">
        <v>2.2000000000000002</v>
      </c>
      <c r="I22">
        <v>2.2000000000000002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ht="28.5">
      <c r="A23">
        <v>22</v>
      </c>
      <c r="B23" t="s">
        <v>72</v>
      </c>
      <c r="C23" t="s">
        <v>73</v>
      </c>
      <c r="D23" s="7" t="s">
        <v>468</v>
      </c>
      <c r="E23" s="7" t="s">
        <v>469</v>
      </c>
      <c r="F23">
        <v>2</v>
      </c>
      <c r="G23">
        <v>9</v>
      </c>
      <c r="H23">
        <v>0.4</v>
      </c>
      <c r="I23">
        <v>1.8</v>
      </c>
      <c r="J23">
        <v>-1.4</v>
      </c>
      <c r="K23">
        <v>3</v>
      </c>
      <c r="L23">
        <v>0</v>
      </c>
      <c r="M23">
        <v>0.6</v>
      </c>
      <c r="N23">
        <v>0</v>
      </c>
      <c r="O23">
        <v>0.6</v>
      </c>
    </row>
    <row r="24" spans="1:15" ht="28.5">
      <c r="A24">
        <v>23</v>
      </c>
      <c r="B24" t="s">
        <v>75</v>
      </c>
      <c r="C24" t="s">
        <v>76</v>
      </c>
      <c r="D24" s="7" t="s">
        <v>470</v>
      </c>
      <c r="E24" s="7" t="s">
        <v>471</v>
      </c>
      <c r="F24">
        <v>3</v>
      </c>
      <c r="G24">
        <v>3</v>
      </c>
      <c r="H24">
        <v>0.6</v>
      </c>
      <c r="I24">
        <v>0.6</v>
      </c>
      <c r="J24">
        <v>0</v>
      </c>
      <c r="K24">
        <v>2</v>
      </c>
      <c r="L24">
        <v>3</v>
      </c>
      <c r="M24">
        <v>0.4</v>
      </c>
      <c r="N24">
        <v>0.6</v>
      </c>
      <c r="O24">
        <v>-0.19999999999999996</v>
      </c>
    </row>
    <row r="25" spans="1:15" ht="28.5">
      <c r="A25">
        <v>24</v>
      </c>
      <c r="B25" t="s">
        <v>77</v>
      </c>
      <c r="C25" t="s">
        <v>78</v>
      </c>
      <c r="D25" s="7" t="s">
        <v>472</v>
      </c>
      <c r="E25" s="7" t="s">
        <v>473</v>
      </c>
      <c r="F25">
        <v>7</v>
      </c>
      <c r="G25">
        <v>6</v>
      </c>
      <c r="H25">
        <v>1.4</v>
      </c>
      <c r="I25">
        <v>1.2</v>
      </c>
      <c r="J25">
        <v>0.19999999999999996</v>
      </c>
      <c r="K25">
        <v>1</v>
      </c>
      <c r="L25">
        <v>2</v>
      </c>
      <c r="M25">
        <v>0.2</v>
      </c>
      <c r="N25">
        <v>0.4</v>
      </c>
      <c r="O25">
        <v>-0.2</v>
      </c>
    </row>
    <row r="26" spans="1:15" ht="28.5">
      <c r="A26">
        <v>25</v>
      </c>
      <c r="B26" t="s">
        <v>23</v>
      </c>
      <c r="C26" t="s">
        <v>21</v>
      </c>
      <c r="D26" s="7" t="s">
        <v>474</v>
      </c>
      <c r="E26" s="7" t="s">
        <v>475</v>
      </c>
      <c r="F26">
        <v>8</v>
      </c>
      <c r="G26">
        <v>5</v>
      </c>
      <c r="H26">
        <v>1.6</v>
      </c>
      <c r="I26">
        <v>1</v>
      </c>
      <c r="J26">
        <v>0.60000000000000009</v>
      </c>
      <c r="K26">
        <v>0</v>
      </c>
      <c r="L26">
        <v>2</v>
      </c>
      <c r="M26">
        <v>0</v>
      </c>
      <c r="N26">
        <v>0.4</v>
      </c>
      <c r="O26">
        <v>-0.4</v>
      </c>
    </row>
    <row r="27" spans="1:15" ht="28.5">
      <c r="A27">
        <v>26</v>
      </c>
      <c r="B27" t="s">
        <v>38</v>
      </c>
      <c r="C27" t="s">
        <v>26</v>
      </c>
      <c r="D27" s="7" t="s">
        <v>476</v>
      </c>
      <c r="E27" s="7" t="s">
        <v>477</v>
      </c>
      <c r="F27">
        <v>7</v>
      </c>
      <c r="G27">
        <v>4</v>
      </c>
      <c r="H27">
        <v>1.4</v>
      </c>
      <c r="I27">
        <v>0.8</v>
      </c>
      <c r="J27">
        <v>0.59999999999999987</v>
      </c>
      <c r="K27">
        <v>1</v>
      </c>
      <c r="L27">
        <v>1</v>
      </c>
      <c r="M27">
        <v>0.2</v>
      </c>
      <c r="N27">
        <v>0.2</v>
      </c>
      <c r="O27">
        <v>0</v>
      </c>
    </row>
    <row r="28" spans="1:15" ht="28.5">
      <c r="A28">
        <v>27</v>
      </c>
      <c r="B28" t="s">
        <v>25</v>
      </c>
      <c r="C28" t="s">
        <v>37</v>
      </c>
      <c r="D28" s="7" t="s">
        <v>478</v>
      </c>
      <c r="E28" s="7" t="s">
        <v>479</v>
      </c>
      <c r="F28">
        <v>4</v>
      </c>
      <c r="G28">
        <v>6</v>
      </c>
      <c r="H28">
        <v>0.8</v>
      </c>
      <c r="I28">
        <v>1.2</v>
      </c>
      <c r="J28">
        <v>-0.39999999999999991</v>
      </c>
      <c r="K28">
        <v>2</v>
      </c>
      <c r="L28">
        <v>1</v>
      </c>
      <c r="M28">
        <v>0.4</v>
      </c>
      <c r="N28">
        <v>0.2</v>
      </c>
      <c r="O28">
        <v>0.2</v>
      </c>
    </row>
    <row r="29" spans="1:15" ht="28.5">
      <c r="A29">
        <v>28</v>
      </c>
      <c r="B29" t="s">
        <v>20</v>
      </c>
      <c r="C29" t="s">
        <v>22</v>
      </c>
      <c r="D29" s="7" t="s">
        <v>480</v>
      </c>
      <c r="E29" s="7" t="s">
        <v>481</v>
      </c>
      <c r="F29">
        <v>2</v>
      </c>
      <c r="G29">
        <v>6</v>
      </c>
      <c r="H29">
        <v>0.4</v>
      </c>
      <c r="I29">
        <v>1.2</v>
      </c>
      <c r="J29">
        <v>-0.79999999999999993</v>
      </c>
      <c r="K29">
        <v>3</v>
      </c>
      <c r="L29">
        <v>2</v>
      </c>
      <c r="M29">
        <v>0.6</v>
      </c>
      <c r="N29">
        <v>0.4</v>
      </c>
      <c r="O29">
        <v>0.19999999999999996</v>
      </c>
    </row>
    <row r="30" spans="1:15" ht="28.5">
      <c r="A30">
        <v>29</v>
      </c>
      <c r="B30" t="s">
        <v>35</v>
      </c>
      <c r="C30" t="s">
        <v>31</v>
      </c>
      <c r="D30" s="7" t="s">
        <v>482</v>
      </c>
      <c r="E30" s="7" t="s">
        <v>483</v>
      </c>
      <c r="F30">
        <v>7</v>
      </c>
      <c r="G30">
        <v>5</v>
      </c>
      <c r="H30">
        <v>1.4</v>
      </c>
      <c r="I30">
        <v>1</v>
      </c>
      <c r="J30">
        <v>0.39999999999999991</v>
      </c>
      <c r="K30">
        <v>0</v>
      </c>
      <c r="L30">
        <v>1</v>
      </c>
      <c r="M30">
        <v>0</v>
      </c>
      <c r="N30">
        <v>0.2</v>
      </c>
      <c r="O30">
        <v>-0.2</v>
      </c>
    </row>
    <row r="31" spans="1:15" ht="28.5">
      <c r="A31">
        <v>30</v>
      </c>
      <c r="B31" t="s">
        <v>32</v>
      </c>
      <c r="C31" t="s">
        <v>36</v>
      </c>
      <c r="D31" s="7" t="s">
        <v>484</v>
      </c>
      <c r="E31" s="7" t="s">
        <v>485</v>
      </c>
      <c r="F31">
        <v>3</v>
      </c>
      <c r="G31">
        <v>3</v>
      </c>
      <c r="H31">
        <v>0.6</v>
      </c>
      <c r="I31">
        <v>0.6</v>
      </c>
      <c r="J31">
        <v>0</v>
      </c>
      <c r="K31">
        <v>2</v>
      </c>
      <c r="L31">
        <v>2</v>
      </c>
      <c r="M31">
        <v>0.4</v>
      </c>
      <c r="N31">
        <v>0.4</v>
      </c>
      <c r="O31">
        <v>0</v>
      </c>
    </row>
    <row r="32" spans="1:15" ht="28.5">
      <c r="A32">
        <v>31</v>
      </c>
      <c r="B32" t="s">
        <v>34</v>
      </c>
      <c r="C32" t="s">
        <v>29</v>
      </c>
      <c r="D32" s="7" t="s">
        <v>486</v>
      </c>
      <c r="E32" s="7" t="s">
        <v>487</v>
      </c>
      <c r="F32">
        <v>3</v>
      </c>
      <c r="G32">
        <v>7</v>
      </c>
      <c r="H32">
        <v>0.6</v>
      </c>
      <c r="I32">
        <v>1.4</v>
      </c>
      <c r="J32">
        <v>-0.79999999999999993</v>
      </c>
      <c r="K32">
        <v>3</v>
      </c>
      <c r="L32">
        <v>2</v>
      </c>
      <c r="M32">
        <v>0.6</v>
      </c>
      <c r="N32">
        <v>0.4</v>
      </c>
      <c r="O32">
        <v>0.19999999999999996</v>
      </c>
    </row>
    <row r="33" spans="1:15" ht="28.5">
      <c r="A33">
        <v>32</v>
      </c>
      <c r="B33" t="s">
        <v>28</v>
      </c>
      <c r="C33" t="s">
        <v>33</v>
      </c>
      <c r="D33" s="7" t="s">
        <v>488</v>
      </c>
      <c r="E33" s="7" t="s">
        <v>489</v>
      </c>
      <c r="F33">
        <v>12</v>
      </c>
      <c r="G33">
        <v>3</v>
      </c>
      <c r="H33">
        <v>2.4</v>
      </c>
      <c r="I33">
        <v>0.6</v>
      </c>
      <c r="J33">
        <v>1.7999999999999998</v>
      </c>
      <c r="K33">
        <v>0</v>
      </c>
      <c r="L33">
        <v>2</v>
      </c>
      <c r="M33">
        <v>0</v>
      </c>
      <c r="N33">
        <v>0.4</v>
      </c>
      <c r="O33">
        <v>-0.4</v>
      </c>
    </row>
    <row r="34" spans="1:15" ht="28.5">
      <c r="A34">
        <v>33</v>
      </c>
      <c r="B34" t="s">
        <v>42</v>
      </c>
      <c r="C34" t="s">
        <v>40</v>
      </c>
      <c r="D34" s="7" t="s">
        <v>490</v>
      </c>
      <c r="E34" s="7" t="s">
        <v>491</v>
      </c>
      <c r="F34">
        <v>6</v>
      </c>
      <c r="G34">
        <v>4</v>
      </c>
      <c r="H34">
        <v>1.2</v>
      </c>
      <c r="I34">
        <v>0.8</v>
      </c>
      <c r="J34">
        <v>0.39999999999999991</v>
      </c>
      <c r="K34">
        <v>1</v>
      </c>
      <c r="L34">
        <v>3</v>
      </c>
      <c r="M34">
        <v>0.2</v>
      </c>
      <c r="N34">
        <v>0.6</v>
      </c>
      <c r="O34">
        <v>-0.39999999999999997</v>
      </c>
    </row>
    <row r="35" spans="1:15" ht="28.5">
      <c r="A35">
        <v>34</v>
      </c>
      <c r="B35" t="s">
        <v>41</v>
      </c>
      <c r="C35" t="s">
        <v>43</v>
      </c>
      <c r="D35" s="7" t="s">
        <v>492</v>
      </c>
      <c r="E35" s="7" t="s">
        <v>493</v>
      </c>
      <c r="F35">
        <v>4</v>
      </c>
      <c r="G35">
        <v>18</v>
      </c>
      <c r="H35">
        <v>0.8</v>
      </c>
      <c r="I35">
        <v>3.6</v>
      </c>
      <c r="J35">
        <v>-2.8</v>
      </c>
      <c r="K35">
        <v>1</v>
      </c>
      <c r="L35">
        <v>1</v>
      </c>
      <c r="M35">
        <v>0.2</v>
      </c>
      <c r="N35">
        <v>0.2</v>
      </c>
      <c r="O35">
        <v>0</v>
      </c>
    </row>
    <row r="36" spans="1:15" ht="28.5">
      <c r="A36">
        <v>35</v>
      </c>
      <c r="B36" t="s">
        <v>45</v>
      </c>
      <c r="C36" t="s">
        <v>47</v>
      </c>
      <c r="D36" s="7" t="s">
        <v>494</v>
      </c>
      <c r="E36" s="7" t="s">
        <v>495</v>
      </c>
      <c r="F36">
        <v>6</v>
      </c>
      <c r="G36">
        <v>9</v>
      </c>
      <c r="H36">
        <v>1.2</v>
      </c>
      <c r="I36">
        <v>1.8</v>
      </c>
      <c r="J36">
        <v>-0.60000000000000009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ht="28.5">
      <c r="A37">
        <v>36</v>
      </c>
      <c r="B37" t="s">
        <v>48</v>
      </c>
      <c r="C37" t="s">
        <v>46</v>
      </c>
      <c r="D37" s="7" t="s">
        <v>496</v>
      </c>
      <c r="E37" s="7" t="s">
        <v>497</v>
      </c>
      <c r="F37">
        <v>11</v>
      </c>
      <c r="G37">
        <v>2</v>
      </c>
      <c r="H37">
        <v>2.2000000000000002</v>
      </c>
      <c r="I37">
        <v>0.4</v>
      </c>
      <c r="J37">
        <v>1.8000000000000003</v>
      </c>
      <c r="K37">
        <v>2</v>
      </c>
      <c r="L37">
        <v>4</v>
      </c>
      <c r="M37">
        <v>0.4</v>
      </c>
      <c r="N37">
        <v>0.8</v>
      </c>
      <c r="O37">
        <v>-0.4</v>
      </c>
    </row>
    <row r="38" spans="1:15" ht="28.5">
      <c r="A38">
        <v>37</v>
      </c>
      <c r="B38" t="s">
        <v>51</v>
      </c>
      <c r="C38" t="s">
        <v>53</v>
      </c>
      <c r="D38" s="7" t="s">
        <v>498</v>
      </c>
      <c r="E38" s="7" t="s">
        <v>499</v>
      </c>
      <c r="F38">
        <v>7</v>
      </c>
      <c r="G38">
        <v>8</v>
      </c>
      <c r="H38">
        <v>1.4</v>
      </c>
      <c r="I38">
        <v>1.6</v>
      </c>
      <c r="J38">
        <v>-0.20000000000000018</v>
      </c>
      <c r="K38">
        <v>2</v>
      </c>
      <c r="L38">
        <v>2</v>
      </c>
      <c r="M38">
        <v>0.4</v>
      </c>
      <c r="N38">
        <v>0.4</v>
      </c>
      <c r="O38">
        <v>0</v>
      </c>
    </row>
    <row r="39" spans="1:15" ht="28.5">
      <c r="A39">
        <v>38</v>
      </c>
      <c r="B39" t="s">
        <v>52</v>
      </c>
      <c r="C39" t="s">
        <v>50</v>
      </c>
      <c r="D39" s="7" t="s">
        <v>500</v>
      </c>
      <c r="E39" s="7" t="s">
        <v>501</v>
      </c>
      <c r="F39">
        <v>2</v>
      </c>
      <c r="G39">
        <v>5</v>
      </c>
      <c r="H39">
        <v>0.4</v>
      </c>
      <c r="I39">
        <v>1</v>
      </c>
      <c r="J39">
        <v>-0.6</v>
      </c>
      <c r="K39">
        <v>3</v>
      </c>
      <c r="L39">
        <v>2</v>
      </c>
      <c r="M39">
        <v>0.6</v>
      </c>
      <c r="N39">
        <v>0.4</v>
      </c>
      <c r="O39">
        <v>0.19999999999999996</v>
      </c>
    </row>
    <row r="40" spans="1:15" ht="28.5">
      <c r="A40">
        <v>39</v>
      </c>
      <c r="B40" t="s">
        <v>57</v>
      </c>
      <c r="C40" t="s">
        <v>55</v>
      </c>
      <c r="D40" s="7" t="s">
        <v>502</v>
      </c>
      <c r="E40" s="7" t="s">
        <v>503</v>
      </c>
      <c r="F40">
        <v>4</v>
      </c>
      <c r="G40">
        <v>5</v>
      </c>
      <c r="H40">
        <v>0.8</v>
      </c>
      <c r="I40">
        <v>1</v>
      </c>
      <c r="J40">
        <v>-0.19999999999999996</v>
      </c>
      <c r="K40">
        <v>2</v>
      </c>
      <c r="L40">
        <v>2</v>
      </c>
      <c r="M40">
        <v>0.4</v>
      </c>
      <c r="N40">
        <v>0.4</v>
      </c>
      <c r="O40">
        <v>0</v>
      </c>
    </row>
    <row r="41" spans="1:15" ht="28.5">
      <c r="A41">
        <v>40</v>
      </c>
      <c r="B41" t="s">
        <v>56</v>
      </c>
      <c r="C41" t="s">
        <v>58</v>
      </c>
      <c r="D41" s="7" t="s">
        <v>504</v>
      </c>
      <c r="E41" s="7" t="s">
        <v>505</v>
      </c>
      <c r="F41">
        <v>10</v>
      </c>
      <c r="G41">
        <v>3</v>
      </c>
      <c r="H41">
        <v>2</v>
      </c>
      <c r="I41">
        <v>0.6</v>
      </c>
      <c r="J41">
        <v>1.4</v>
      </c>
      <c r="K41">
        <v>0</v>
      </c>
      <c r="L41">
        <v>3</v>
      </c>
      <c r="M41">
        <v>0</v>
      </c>
      <c r="N41">
        <v>0.6</v>
      </c>
      <c r="O41">
        <v>-0.6</v>
      </c>
    </row>
    <row r="42" spans="1:15" ht="28.5">
      <c r="A42">
        <v>41</v>
      </c>
      <c r="B42" t="s">
        <v>63</v>
      </c>
      <c r="C42" t="s">
        <v>61</v>
      </c>
      <c r="D42" s="7" t="s">
        <v>506</v>
      </c>
      <c r="E42" s="7" t="s">
        <v>507</v>
      </c>
      <c r="F42">
        <v>5</v>
      </c>
      <c r="G42">
        <v>7</v>
      </c>
      <c r="H42">
        <v>1</v>
      </c>
      <c r="I42">
        <v>1.4</v>
      </c>
      <c r="J42">
        <v>-0.39999999999999991</v>
      </c>
      <c r="K42">
        <v>1</v>
      </c>
      <c r="L42">
        <v>2</v>
      </c>
      <c r="M42">
        <v>0.2</v>
      </c>
      <c r="N42">
        <v>0.4</v>
      </c>
      <c r="O42">
        <v>-0.2</v>
      </c>
    </row>
    <row r="43" spans="1:15" ht="28.5">
      <c r="A43">
        <v>42</v>
      </c>
      <c r="B43" t="s">
        <v>60</v>
      </c>
      <c r="C43" t="s">
        <v>62</v>
      </c>
      <c r="D43" s="7" t="s">
        <v>508</v>
      </c>
      <c r="E43" s="7" t="s">
        <v>509</v>
      </c>
      <c r="F43">
        <v>6</v>
      </c>
      <c r="G43">
        <v>8</v>
      </c>
      <c r="H43">
        <v>1.2</v>
      </c>
      <c r="I43">
        <v>1.6</v>
      </c>
      <c r="J43">
        <v>-0.40000000000000013</v>
      </c>
      <c r="K43">
        <v>0</v>
      </c>
      <c r="L43">
        <v>1</v>
      </c>
      <c r="M43">
        <v>0</v>
      </c>
      <c r="N43">
        <v>0.2</v>
      </c>
      <c r="O43">
        <v>-0.2</v>
      </c>
    </row>
    <row r="44" spans="1:15" ht="28.5">
      <c r="A44">
        <v>43</v>
      </c>
      <c r="B44" t="s">
        <v>65</v>
      </c>
      <c r="C44" t="s">
        <v>67</v>
      </c>
      <c r="D44" s="7" t="s">
        <v>510</v>
      </c>
      <c r="E44" s="7" t="s">
        <v>511</v>
      </c>
      <c r="F44">
        <v>1</v>
      </c>
      <c r="G44">
        <v>3</v>
      </c>
      <c r="H44">
        <v>0.2</v>
      </c>
      <c r="I44">
        <v>0.6</v>
      </c>
      <c r="J44">
        <v>-0.39999999999999997</v>
      </c>
      <c r="K44">
        <v>4</v>
      </c>
      <c r="L44">
        <v>2</v>
      </c>
      <c r="M44">
        <v>0.8</v>
      </c>
      <c r="N44">
        <v>0.4</v>
      </c>
      <c r="O44">
        <v>0.4</v>
      </c>
    </row>
    <row r="45" spans="1:15" ht="28.5">
      <c r="A45">
        <v>44</v>
      </c>
      <c r="B45" t="s">
        <v>68</v>
      </c>
      <c r="C45" t="s">
        <v>66</v>
      </c>
      <c r="D45" s="7" t="s">
        <v>512</v>
      </c>
      <c r="E45" s="7" t="s">
        <v>513</v>
      </c>
      <c r="F45">
        <v>13</v>
      </c>
      <c r="G45">
        <v>3</v>
      </c>
      <c r="H45">
        <v>2.6</v>
      </c>
      <c r="I45">
        <v>0.6</v>
      </c>
      <c r="J45">
        <v>2</v>
      </c>
      <c r="K45">
        <v>0</v>
      </c>
      <c r="L45">
        <v>4</v>
      </c>
      <c r="M45">
        <v>0</v>
      </c>
      <c r="N45">
        <v>0.8</v>
      </c>
      <c r="O45">
        <v>-0.8</v>
      </c>
    </row>
    <row r="46" spans="1:15" ht="28.5">
      <c r="A46">
        <v>45</v>
      </c>
      <c r="B46" t="s">
        <v>72</v>
      </c>
      <c r="C46" t="s">
        <v>70</v>
      </c>
      <c r="D46" s="7" t="s">
        <v>514</v>
      </c>
      <c r="E46" s="7" t="s">
        <v>515</v>
      </c>
      <c r="F46">
        <v>4</v>
      </c>
      <c r="G46">
        <v>10</v>
      </c>
      <c r="H46">
        <v>0.8</v>
      </c>
      <c r="I46">
        <v>2</v>
      </c>
      <c r="J46">
        <v>-1.2</v>
      </c>
      <c r="K46">
        <v>2</v>
      </c>
      <c r="L46">
        <v>1</v>
      </c>
      <c r="M46">
        <v>0.4</v>
      </c>
      <c r="N46">
        <v>0.2</v>
      </c>
      <c r="O46">
        <v>0.2</v>
      </c>
    </row>
    <row r="47" spans="1:15" ht="28.5">
      <c r="A47">
        <v>46</v>
      </c>
      <c r="B47" t="s">
        <v>71</v>
      </c>
      <c r="C47" t="s">
        <v>73</v>
      </c>
      <c r="D47" s="7" t="s">
        <v>516</v>
      </c>
      <c r="E47" s="7" t="s">
        <v>517</v>
      </c>
      <c r="F47">
        <v>11</v>
      </c>
      <c r="G47">
        <v>11</v>
      </c>
      <c r="H47">
        <v>2.2000000000000002</v>
      </c>
      <c r="I47">
        <v>2.2000000000000002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ht="28.5">
      <c r="A48">
        <v>47</v>
      </c>
      <c r="B48" t="s">
        <v>75</v>
      </c>
      <c r="C48" t="s">
        <v>77</v>
      </c>
      <c r="D48" s="7" t="s">
        <v>518</v>
      </c>
      <c r="E48" s="7" t="s">
        <v>519</v>
      </c>
      <c r="F48">
        <v>3</v>
      </c>
      <c r="G48">
        <v>8</v>
      </c>
      <c r="H48">
        <v>0.6</v>
      </c>
      <c r="I48">
        <v>1.6</v>
      </c>
      <c r="J48">
        <v>-1</v>
      </c>
      <c r="K48">
        <v>2</v>
      </c>
      <c r="L48">
        <v>1</v>
      </c>
      <c r="M48">
        <v>0.4</v>
      </c>
      <c r="N48">
        <v>0.2</v>
      </c>
      <c r="O48">
        <v>0.2</v>
      </c>
    </row>
    <row r="49" spans="1:15" ht="28.5">
      <c r="A49">
        <v>48</v>
      </c>
      <c r="B49" t="s">
        <v>78</v>
      </c>
      <c r="C49" t="s">
        <v>76</v>
      </c>
      <c r="D49" s="7" t="s">
        <v>520</v>
      </c>
      <c r="E49" s="7" t="s">
        <v>521</v>
      </c>
      <c r="F49">
        <v>7</v>
      </c>
      <c r="G49">
        <v>3</v>
      </c>
      <c r="H49">
        <v>1.4</v>
      </c>
      <c r="I49">
        <v>0.6</v>
      </c>
      <c r="J49">
        <v>0.79999999999999993</v>
      </c>
      <c r="K49">
        <v>1</v>
      </c>
      <c r="L49">
        <v>3</v>
      </c>
      <c r="M49">
        <v>0.2</v>
      </c>
      <c r="N49">
        <v>0.6</v>
      </c>
      <c r="O49">
        <v>-0.39999999999999997</v>
      </c>
    </row>
    <row r="50" spans="1:15" ht="28.5">
      <c r="A50">
        <v>49</v>
      </c>
      <c r="B50" t="s">
        <v>32</v>
      </c>
      <c r="C50" t="s">
        <v>35</v>
      </c>
      <c r="D50" s="7" t="s">
        <v>522</v>
      </c>
      <c r="E50" s="7" t="s">
        <v>523</v>
      </c>
      <c r="F50">
        <v>3</v>
      </c>
      <c r="G50">
        <v>5</v>
      </c>
      <c r="H50">
        <v>0.6</v>
      </c>
      <c r="I50">
        <v>1</v>
      </c>
      <c r="J50">
        <v>-0.4</v>
      </c>
      <c r="K50">
        <v>2</v>
      </c>
      <c r="L50">
        <v>1</v>
      </c>
      <c r="M50">
        <v>0.4</v>
      </c>
      <c r="N50">
        <v>0.2</v>
      </c>
      <c r="O50">
        <v>0.2</v>
      </c>
    </row>
    <row r="51" spans="1:15" ht="28.5">
      <c r="A51">
        <v>50</v>
      </c>
      <c r="B51" t="s">
        <v>36</v>
      </c>
      <c r="C51" t="s">
        <v>31</v>
      </c>
      <c r="D51" s="7" t="s">
        <v>524</v>
      </c>
      <c r="E51" s="7" t="s">
        <v>525</v>
      </c>
      <c r="F51">
        <v>2</v>
      </c>
      <c r="G51">
        <v>7</v>
      </c>
      <c r="H51">
        <v>0.4</v>
      </c>
      <c r="I51">
        <v>1.4</v>
      </c>
      <c r="J51">
        <v>-0.99999999999999989</v>
      </c>
      <c r="K51">
        <v>3</v>
      </c>
      <c r="L51">
        <v>1</v>
      </c>
      <c r="M51">
        <v>0.6</v>
      </c>
      <c r="N51">
        <v>0.2</v>
      </c>
      <c r="O51">
        <v>0.39999999999999997</v>
      </c>
    </row>
    <row r="52" spans="1:15" ht="28.5">
      <c r="A52">
        <v>51</v>
      </c>
      <c r="B52" t="s">
        <v>38</v>
      </c>
      <c r="C52" t="s">
        <v>25</v>
      </c>
      <c r="D52" s="7" t="s">
        <v>526</v>
      </c>
      <c r="E52" s="7" t="s">
        <v>527</v>
      </c>
      <c r="F52">
        <v>4</v>
      </c>
      <c r="G52">
        <v>2</v>
      </c>
      <c r="H52">
        <v>0.8</v>
      </c>
      <c r="I52">
        <v>0.4</v>
      </c>
      <c r="J52">
        <v>0.4</v>
      </c>
      <c r="K52">
        <v>1</v>
      </c>
      <c r="L52">
        <v>3</v>
      </c>
      <c r="M52">
        <v>0.2</v>
      </c>
      <c r="N52">
        <v>0.6</v>
      </c>
      <c r="O52">
        <v>-0.39999999999999997</v>
      </c>
    </row>
    <row r="53" spans="1:15" ht="28.5">
      <c r="A53">
        <v>52</v>
      </c>
      <c r="B53" t="s">
        <v>26</v>
      </c>
      <c r="C53" t="s">
        <v>37</v>
      </c>
      <c r="D53" s="7" t="s">
        <v>528</v>
      </c>
      <c r="E53" s="7" t="s">
        <v>529</v>
      </c>
      <c r="F53">
        <v>7</v>
      </c>
      <c r="G53">
        <v>11</v>
      </c>
      <c r="H53">
        <v>1.4</v>
      </c>
      <c r="I53">
        <v>2.2000000000000002</v>
      </c>
      <c r="J53">
        <v>-0.80000000000000027</v>
      </c>
      <c r="K53">
        <v>1</v>
      </c>
      <c r="L53">
        <v>1</v>
      </c>
      <c r="M53">
        <v>0.2</v>
      </c>
      <c r="N53">
        <v>0.2</v>
      </c>
      <c r="O53">
        <v>0</v>
      </c>
    </row>
    <row r="54" spans="1:15" ht="28.5">
      <c r="A54">
        <v>53</v>
      </c>
      <c r="B54" t="s">
        <v>23</v>
      </c>
      <c r="C54" t="s">
        <v>20</v>
      </c>
      <c r="D54" s="7" t="s">
        <v>530</v>
      </c>
      <c r="E54" s="7" t="s">
        <v>531</v>
      </c>
      <c r="F54">
        <v>7</v>
      </c>
      <c r="G54">
        <v>1</v>
      </c>
      <c r="H54">
        <v>1.4</v>
      </c>
      <c r="I54">
        <v>0.2</v>
      </c>
      <c r="J54">
        <v>1.2</v>
      </c>
      <c r="K54">
        <v>0</v>
      </c>
      <c r="L54">
        <v>4</v>
      </c>
      <c r="M54">
        <v>0</v>
      </c>
      <c r="N54">
        <v>0.8</v>
      </c>
      <c r="O54">
        <v>-0.8</v>
      </c>
    </row>
    <row r="55" spans="1:15" ht="28.5">
      <c r="A55">
        <v>54</v>
      </c>
      <c r="B55" t="s">
        <v>21</v>
      </c>
      <c r="C55" t="s">
        <v>22</v>
      </c>
      <c r="D55" s="7" t="s">
        <v>532</v>
      </c>
      <c r="E55" s="7" t="s">
        <v>533</v>
      </c>
      <c r="F55">
        <v>5</v>
      </c>
      <c r="G55">
        <v>3</v>
      </c>
      <c r="H55">
        <v>1</v>
      </c>
      <c r="I55">
        <v>0.6</v>
      </c>
      <c r="J55">
        <v>0.4</v>
      </c>
      <c r="K55">
        <v>2</v>
      </c>
      <c r="L55">
        <v>2</v>
      </c>
      <c r="M55">
        <v>0.4</v>
      </c>
      <c r="N55">
        <v>0.4</v>
      </c>
      <c r="O55">
        <v>0</v>
      </c>
    </row>
    <row r="56" spans="1:15" ht="28.5">
      <c r="A56">
        <v>55</v>
      </c>
      <c r="B56" t="s">
        <v>43</v>
      </c>
      <c r="C56" t="s">
        <v>40</v>
      </c>
      <c r="D56" s="7" t="s">
        <v>534</v>
      </c>
      <c r="E56" s="7" t="s">
        <v>535</v>
      </c>
      <c r="F56">
        <v>16</v>
      </c>
      <c r="G56">
        <v>3</v>
      </c>
      <c r="H56">
        <v>3.2</v>
      </c>
      <c r="I56">
        <v>0.6</v>
      </c>
      <c r="J56">
        <v>2.6</v>
      </c>
      <c r="K56">
        <v>2</v>
      </c>
      <c r="L56">
        <v>3</v>
      </c>
      <c r="M56">
        <v>0.4</v>
      </c>
      <c r="N56">
        <v>0.6</v>
      </c>
      <c r="O56">
        <v>-0.19999999999999996</v>
      </c>
    </row>
    <row r="57" spans="1:15" ht="28.5">
      <c r="A57">
        <v>56</v>
      </c>
      <c r="B57" t="s">
        <v>41</v>
      </c>
      <c r="C57" t="s">
        <v>42</v>
      </c>
      <c r="D57" s="7" t="s">
        <v>536</v>
      </c>
      <c r="E57" s="7" t="s">
        <v>537</v>
      </c>
      <c r="F57">
        <v>3</v>
      </c>
      <c r="G57">
        <v>4</v>
      </c>
      <c r="H57">
        <v>0.6</v>
      </c>
      <c r="I57">
        <v>0.8</v>
      </c>
      <c r="J57">
        <v>-0.20000000000000007</v>
      </c>
      <c r="K57">
        <v>2</v>
      </c>
      <c r="L57">
        <v>1</v>
      </c>
      <c r="M57">
        <v>0.4</v>
      </c>
      <c r="N57">
        <v>0.2</v>
      </c>
      <c r="O57">
        <v>0.2</v>
      </c>
    </row>
    <row r="58" spans="1:15" ht="28.5">
      <c r="A58">
        <v>57</v>
      </c>
      <c r="B58" t="s">
        <v>46</v>
      </c>
      <c r="C58" t="s">
        <v>47</v>
      </c>
      <c r="D58" s="7" t="s">
        <v>538</v>
      </c>
      <c r="E58" s="7" t="s">
        <v>539</v>
      </c>
      <c r="F58">
        <v>2</v>
      </c>
      <c r="G58">
        <v>13</v>
      </c>
      <c r="H58">
        <v>0.4</v>
      </c>
      <c r="I58">
        <v>2.6</v>
      </c>
      <c r="J58">
        <v>-2.2000000000000002</v>
      </c>
      <c r="K58">
        <v>4</v>
      </c>
      <c r="L58">
        <v>0</v>
      </c>
      <c r="M58">
        <v>0.8</v>
      </c>
      <c r="N58">
        <v>0</v>
      </c>
      <c r="O58">
        <v>0.8</v>
      </c>
    </row>
    <row r="59" spans="1:15" ht="28.5">
      <c r="A59">
        <v>58</v>
      </c>
      <c r="B59" t="s">
        <v>48</v>
      </c>
      <c r="C59" t="s">
        <v>45</v>
      </c>
      <c r="D59" s="7" t="s">
        <v>540</v>
      </c>
      <c r="E59" s="7" t="s">
        <v>541</v>
      </c>
      <c r="F59">
        <v>15</v>
      </c>
      <c r="G59">
        <v>6</v>
      </c>
      <c r="H59">
        <v>3</v>
      </c>
      <c r="I59">
        <v>1.2</v>
      </c>
      <c r="J59">
        <v>1.8</v>
      </c>
      <c r="K59">
        <v>1</v>
      </c>
      <c r="L59">
        <v>0</v>
      </c>
      <c r="M59">
        <v>0.2</v>
      </c>
      <c r="N59">
        <v>0</v>
      </c>
      <c r="O59">
        <v>0.2</v>
      </c>
    </row>
    <row r="60" spans="1:15" ht="28.5">
      <c r="A60">
        <v>59</v>
      </c>
      <c r="B60" t="s">
        <v>34</v>
      </c>
      <c r="C60" t="s">
        <v>28</v>
      </c>
      <c r="D60" s="7" t="s">
        <v>542</v>
      </c>
      <c r="E60" s="7" t="s">
        <v>543</v>
      </c>
      <c r="F60">
        <v>4</v>
      </c>
      <c r="G60">
        <v>7</v>
      </c>
      <c r="H60">
        <v>0.8</v>
      </c>
      <c r="I60">
        <v>1.4</v>
      </c>
      <c r="J60">
        <v>-0.59999999999999987</v>
      </c>
      <c r="K60">
        <v>2</v>
      </c>
      <c r="L60">
        <v>1</v>
      </c>
      <c r="M60">
        <v>0.4</v>
      </c>
      <c r="N60">
        <v>0.2</v>
      </c>
      <c r="O60">
        <v>0.2</v>
      </c>
    </row>
    <row r="61" spans="1:15" ht="28.5">
      <c r="A61">
        <v>60</v>
      </c>
      <c r="B61" t="s">
        <v>29</v>
      </c>
      <c r="C61" t="s">
        <v>33</v>
      </c>
      <c r="D61" s="7" t="s">
        <v>544</v>
      </c>
      <c r="E61" s="7" t="s">
        <v>545</v>
      </c>
      <c r="F61">
        <v>6</v>
      </c>
      <c r="G61">
        <v>5</v>
      </c>
      <c r="H61">
        <v>1.2</v>
      </c>
      <c r="I61">
        <v>1</v>
      </c>
      <c r="J61">
        <v>0.19999999999999996</v>
      </c>
      <c r="K61">
        <v>3</v>
      </c>
      <c r="L61">
        <v>1</v>
      </c>
      <c r="M61">
        <v>0.6</v>
      </c>
      <c r="N61">
        <v>0.2</v>
      </c>
      <c r="O61">
        <v>0.39999999999999997</v>
      </c>
    </row>
    <row r="62" spans="1:15" ht="28.5">
      <c r="A62">
        <v>61</v>
      </c>
      <c r="B62" t="s">
        <v>63</v>
      </c>
      <c r="C62" t="s">
        <v>60</v>
      </c>
      <c r="D62" s="7" t="s">
        <v>546</v>
      </c>
      <c r="E62" s="7" t="s">
        <v>547</v>
      </c>
      <c r="F62">
        <v>5</v>
      </c>
      <c r="G62">
        <v>5</v>
      </c>
      <c r="H62">
        <v>1</v>
      </c>
      <c r="I62">
        <v>1</v>
      </c>
      <c r="J62">
        <v>0</v>
      </c>
      <c r="K62">
        <v>1</v>
      </c>
      <c r="L62">
        <v>1</v>
      </c>
      <c r="M62">
        <v>0.2</v>
      </c>
      <c r="N62">
        <v>0.2</v>
      </c>
      <c r="O62">
        <v>0</v>
      </c>
    </row>
    <row r="63" spans="1:15" ht="28.5">
      <c r="A63">
        <v>62</v>
      </c>
      <c r="B63" t="s">
        <v>61</v>
      </c>
      <c r="C63" t="s">
        <v>62</v>
      </c>
      <c r="D63" s="7" t="s">
        <v>548</v>
      </c>
      <c r="E63" s="7" t="s">
        <v>549</v>
      </c>
      <c r="F63">
        <v>10</v>
      </c>
      <c r="G63">
        <v>10</v>
      </c>
      <c r="H63">
        <v>2</v>
      </c>
      <c r="I63">
        <v>2</v>
      </c>
      <c r="J63">
        <v>0</v>
      </c>
      <c r="K63">
        <v>1</v>
      </c>
      <c r="L63">
        <v>1</v>
      </c>
      <c r="M63">
        <v>0.2</v>
      </c>
      <c r="N63">
        <v>0.2</v>
      </c>
      <c r="O63">
        <v>0</v>
      </c>
    </row>
    <row r="64" spans="1:15" ht="28.5">
      <c r="A64">
        <v>63</v>
      </c>
      <c r="B64" t="s">
        <v>58</v>
      </c>
      <c r="C64" t="s">
        <v>55</v>
      </c>
      <c r="D64" s="7" t="s">
        <v>550</v>
      </c>
      <c r="E64" s="7" t="s">
        <v>551</v>
      </c>
      <c r="F64">
        <v>4</v>
      </c>
      <c r="G64">
        <v>3</v>
      </c>
      <c r="H64">
        <v>0.8</v>
      </c>
      <c r="I64">
        <v>0.6</v>
      </c>
      <c r="J64">
        <v>0.20000000000000007</v>
      </c>
      <c r="K64">
        <v>2</v>
      </c>
      <c r="L64">
        <v>3</v>
      </c>
      <c r="M64">
        <v>0.4</v>
      </c>
      <c r="N64">
        <v>0.6</v>
      </c>
      <c r="O64">
        <v>-0.19999999999999996</v>
      </c>
    </row>
    <row r="65" spans="1:15" ht="28.5">
      <c r="A65">
        <v>64</v>
      </c>
      <c r="B65" t="s">
        <v>56</v>
      </c>
      <c r="C65" t="s">
        <v>57</v>
      </c>
      <c r="D65" s="7" t="s">
        <v>552</v>
      </c>
      <c r="E65" s="7" t="s">
        <v>553</v>
      </c>
      <c r="F65">
        <v>11</v>
      </c>
      <c r="G65">
        <v>2</v>
      </c>
      <c r="H65">
        <v>2.2000000000000002</v>
      </c>
      <c r="I65">
        <v>0.4</v>
      </c>
      <c r="J65">
        <v>1.8000000000000003</v>
      </c>
      <c r="K65">
        <v>0</v>
      </c>
      <c r="L65">
        <v>3</v>
      </c>
      <c r="M65">
        <v>0</v>
      </c>
      <c r="N65">
        <v>0.6</v>
      </c>
      <c r="O65">
        <v>-0.6</v>
      </c>
    </row>
    <row r="66" spans="1:15" ht="28.5">
      <c r="A66">
        <v>65</v>
      </c>
      <c r="B66" t="s">
        <v>53</v>
      </c>
      <c r="C66" t="s">
        <v>50</v>
      </c>
      <c r="D66" s="7" t="s">
        <v>554</v>
      </c>
      <c r="E66" s="7" t="s">
        <v>555</v>
      </c>
      <c r="F66">
        <v>6</v>
      </c>
      <c r="G66">
        <v>7</v>
      </c>
      <c r="H66">
        <v>1.2</v>
      </c>
      <c r="I66">
        <v>1.4</v>
      </c>
      <c r="J66">
        <v>-0.19999999999999996</v>
      </c>
      <c r="K66">
        <v>2</v>
      </c>
      <c r="L66">
        <v>2</v>
      </c>
      <c r="M66">
        <v>0.4</v>
      </c>
      <c r="N66">
        <v>0.4</v>
      </c>
      <c r="O66">
        <v>0</v>
      </c>
    </row>
    <row r="67" spans="1:15" ht="28.5">
      <c r="A67">
        <v>66</v>
      </c>
      <c r="B67" t="s">
        <v>51</v>
      </c>
      <c r="C67" t="s">
        <v>52</v>
      </c>
      <c r="D67" s="7" t="s">
        <v>556</v>
      </c>
      <c r="E67" s="7" t="s">
        <v>557</v>
      </c>
      <c r="F67">
        <v>9</v>
      </c>
      <c r="G67">
        <v>2</v>
      </c>
      <c r="H67">
        <v>1.8</v>
      </c>
      <c r="I67">
        <v>0.4</v>
      </c>
      <c r="J67">
        <v>1.4</v>
      </c>
      <c r="K67">
        <v>1</v>
      </c>
      <c r="L67">
        <v>3</v>
      </c>
      <c r="M67">
        <v>0.2</v>
      </c>
      <c r="N67">
        <v>0.6</v>
      </c>
      <c r="O67">
        <v>-0.39999999999999997</v>
      </c>
    </row>
    <row r="68" spans="1:15" ht="28.5">
      <c r="A68">
        <v>67</v>
      </c>
      <c r="B68" t="s">
        <v>71</v>
      </c>
      <c r="C68" t="s">
        <v>72</v>
      </c>
      <c r="D68" s="7" t="s">
        <v>558</v>
      </c>
      <c r="E68" s="7" t="s">
        <v>559</v>
      </c>
      <c r="F68">
        <v>11</v>
      </c>
      <c r="G68">
        <v>3</v>
      </c>
      <c r="H68">
        <v>2.2000000000000002</v>
      </c>
      <c r="I68">
        <v>0.6</v>
      </c>
      <c r="J68">
        <v>1.6</v>
      </c>
      <c r="K68">
        <v>0</v>
      </c>
      <c r="L68">
        <v>3</v>
      </c>
      <c r="M68">
        <v>0</v>
      </c>
      <c r="N68">
        <v>0.6</v>
      </c>
      <c r="O68">
        <v>-0.6</v>
      </c>
    </row>
    <row r="69" spans="1:15" ht="28.5">
      <c r="A69">
        <v>68</v>
      </c>
      <c r="B69" t="s">
        <v>73</v>
      </c>
      <c r="C69" t="s">
        <v>70</v>
      </c>
      <c r="D69" s="7" t="s">
        <v>560</v>
      </c>
      <c r="E69" s="7" t="s">
        <v>561</v>
      </c>
      <c r="F69">
        <v>10</v>
      </c>
      <c r="G69">
        <v>5</v>
      </c>
      <c r="H69">
        <v>2</v>
      </c>
      <c r="I69">
        <v>1</v>
      </c>
      <c r="J69">
        <v>1</v>
      </c>
      <c r="K69">
        <v>1</v>
      </c>
      <c r="L69">
        <v>2</v>
      </c>
      <c r="M69">
        <v>0.2</v>
      </c>
      <c r="N69">
        <v>0.4</v>
      </c>
      <c r="O69">
        <v>-0.2</v>
      </c>
    </row>
    <row r="70" spans="1:15" ht="28.5">
      <c r="A70">
        <v>69</v>
      </c>
      <c r="B70" t="s">
        <v>66</v>
      </c>
      <c r="C70" t="s">
        <v>67</v>
      </c>
      <c r="D70" s="7" t="s">
        <v>562</v>
      </c>
      <c r="E70" s="7" t="s">
        <v>563</v>
      </c>
      <c r="F70">
        <v>4</v>
      </c>
      <c r="G70">
        <v>4</v>
      </c>
      <c r="H70">
        <v>0.8</v>
      </c>
      <c r="I70">
        <v>0.8</v>
      </c>
      <c r="J70">
        <v>0</v>
      </c>
      <c r="K70">
        <v>3</v>
      </c>
      <c r="L70">
        <v>2</v>
      </c>
      <c r="M70">
        <v>0.6</v>
      </c>
      <c r="N70">
        <v>0.4</v>
      </c>
      <c r="O70">
        <v>0.19999999999999996</v>
      </c>
    </row>
    <row r="71" spans="1:15" ht="28.5">
      <c r="A71">
        <v>70</v>
      </c>
      <c r="B71" t="s">
        <v>68</v>
      </c>
      <c r="C71" t="s">
        <v>65</v>
      </c>
      <c r="D71" s="7" t="s">
        <v>564</v>
      </c>
      <c r="E71" s="7" t="s">
        <v>565</v>
      </c>
      <c r="F71">
        <v>13</v>
      </c>
      <c r="G71">
        <v>0</v>
      </c>
      <c r="H71">
        <v>2.6</v>
      </c>
      <c r="I71">
        <v>0</v>
      </c>
      <c r="J71">
        <v>2.6</v>
      </c>
      <c r="K71">
        <v>0</v>
      </c>
      <c r="L71">
        <v>5</v>
      </c>
      <c r="M71">
        <v>0</v>
      </c>
      <c r="N71">
        <v>1</v>
      </c>
      <c r="O71">
        <v>-1</v>
      </c>
    </row>
    <row r="72" spans="1:15" ht="28.5">
      <c r="A72">
        <v>71</v>
      </c>
      <c r="B72" t="s">
        <v>78</v>
      </c>
      <c r="C72" t="s">
        <v>75</v>
      </c>
      <c r="D72" s="7" t="s">
        <v>566</v>
      </c>
      <c r="E72" s="7" t="s">
        <v>567</v>
      </c>
      <c r="F72">
        <v>5</v>
      </c>
      <c r="G72">
        <v>3</v>
      </c>
      <c r="H72">
        <v>1</v>
      </c>
      <c r="I72">
        <v>0.6</v>
      </c>
      <c r="J72">
        <v>0.4</v>
      </c>
      <c r="K72">
        <v>2</v>
      </c>
      <c r="L72">
        <v>2</v>
      </c>
      <c r="M72">
        <v>0.4</v>
      </c>
      <c r="N72">
        <v>0.4</v>
      </c>
      <c r="O72">
        <v>0</v>
      </c>
    </row>
    <row r="73" spans="1:15" ht="28.5">
      <c r="A73">
        <v>72</v>
      </c>
      <c r="B73" t="s">
        <v>76</v>
      </c>
      <c r="C73" t="s">
        <v>77</v>
      </c>
      <c r="D73" s="7" t="s">
        <v>568</v>
      </c>
      <c r="E73" s="7" t="s">
        <v>569</v>
      </c>
      <c r="F73">
        <v>4</v>
      </c>
      <c r="G73">
        <v>12</v>
      </c>
      <c r="H73">
        <v>0.8</v>
      </c>
      <c r="I73">
        <v>2.4</v>
      </c>
      <c r="J73">
        <v>-1.5999999999999999</v>
      </c>
      <c r="K73">
        <v>2</v>
      </c>
      <c r="L73">
        <v>1</v>
      </c>
      <c r="M73">
        <v>0.4</v>
      </c>
      <c r="N73">
        <v>0.2</v>
      </c>
      <c r="O73">
        <v>0.2</v>
      </c>
    </row>
    <row r="74" spans="1:15" ht="42.75">
      <c r="A74">
        <v>73</v>
      </c>
      <c r="B74" t="s">
        <v>21</v>
      </c>
      <c r="C74" t="s">
        <v>25</v>
      </c>
      <c r="D74" s="7" t="s">
        <v>570</v>
      </c>
      <c r="E74" s="7" t="s">
        <v>571</v>
      </c>
      <c r="F74">
        <v>3</v>
      </c>
      <c r="G74">
        <v>4</v>
      </c>
      <c r="H74">
        <v>0.6</v>
      </c>
      <c r="I74">
        <v>0.8</v>
      </c>
      <c r="J74">
        <v>-0.20000000000000007</v>
      </c>
      <c r="K74">
        <v>3</v>
      </c>
      <c r="L74">
        <v>2</v>
      </c>
      <c r="M74">
        <v>0.6</v>
      </c>
      <c r="N74">
        <v>0.4</v>
      </c>
      <c r="O74">
        <v>0.19999999999999996</v>
      </c>
    </row>
    <row r="75" spans="1:15" ht="28.5">
      <c r="A75">
        <v>74</v>
      </c>
      <c r="B75" t="s">
        <v>42</v>
      </c>
      <c r="C75" t="s">
        <v>29</v>
      </c>
      <c r="D75" s="7" t="s">
        <v>572</v>
      </c>
      <c r="E75" s="7" t="s">
        <v>573</v>
      </c>
      <c r="F75">
        <v>5</v>
      </c>
      <c r="G75">
        <v>6</v>
      </c>
      <c r="H75">
        <v>1</v>
      </c>
      <c r="I75">
        <v>1.2</v>
      </c>
      <c r="J75">
        <v>-0.19999999999999996</v>
      </c>
      <c r="K75">
        <v>1</v>
      </c>
      <c r="L75">
        <v>3</v>
      </c>
      <c r="M75">
        <v>0.2</v>
      </c>
      <c r="N75">
        <v>0.6</v>
      </c>
      <c r="O75">
        <v>-0.39999999999999997</v>
      </c>
    </row>
    <row r="76" spans="1:15" ht="28.5">
      <c r="A76">
        <v>75</v>
      </c>
      <c r="B76" t="s">
        <v>45</v>
      </c>
      <c r="C76" t="s">
        <v>36</v>
      </c>
      <c r="D76" s="7" t="s">
        <v>574</v>
      </c>
      <c r="E76" s="7" t="s">
        <v>575</v>
      </c>
      <c r="F76">
        <v>6</v>
      </c>
      <c r="G76">
        <v>4</v>
      </c>
      <c r="H76">
        <v>1.2</v>
      </c>
      <c r="I76">
        <v>0.8</v>
      </c>
      <c r="J76">
        <v>0.39999999999999991</v>
      </c>
      <c r="K76">
        <v>0</v>
      </c>
      <c r="L76">
        <v>2</v>
      </c>
      <c r="M76">
        <v>0</v>
      </c>
      <c r="N76">
        <v>0.4</v>
      </c>
      <c r="O76">
        <v>-0.4</v>
      </c>
    </row>
    <row r="77" spans="1:15" ht="28.5">
      <c r="A77">
        <v>76</v>
      </c>
      <c r="B77" t="s">
        <v>35</v>
      </c>
      <c r="C77" t="s">
        <v>46</v>
      </c>
      <c r="D77" s="7" t="s">
        <v>576</v>
      </c>
      <c r="E77" s="7" t="s">
        <v>577</v>
      </c>
      <c r="F77">
        <v>4</v>
      </c>
      <c r="G77">
        <v>3</v>
      </c>
      <c r="H77">
        <v>0.8</v>
      </c>
      <c r="I77">
        <v>0.6</v>
      </c>
      <c r="J77">
        <v>0.20000000000000007</v>
      </c>
      <c r="K77">
        <v>2</v>
      </c>
      <c r="L77">
        <v>3</v>
      </c>
      <c r="M77">
        <v>0.4</v>
      </c>
      <c r="N77">
        <v>0.6</v>
      </c>
      <c r="O77">
        <v>-0.19999999999999996</v>
      </c>
    </row>
    <row r="78" spans="1:15" ht="28.5">
      <c r="A78">
        <v>77</v>
      </c>
      <c r="B78" t="s">
        <v>60</v>
      </c>
      <c r="C78" t="s">
        <v>47</v>
      </c>
      <c r="D78" s="7" t="s">
        <v>578</v>
      </c>
      <c r="E78" s="7" t="s">
        <v>579</v>
      </c>
      <c r="F78">
        <v>5</v>
      </c>
      <c r="G78">
        <v>12</v>
      </c>
      <c r="H78">
        <v>1</v>
      </c>
      <c r="I78">
        <v>2.4</v>
      </c>
      <c r="J78">
        <v>-1.4</v>
      </c>
      <c r="K78">
        <v>1</v>
      </c>
      <c r="L78">
        <v>0</v>
      </c>
      <c r="M78">
        <v>0.2</v>
      </c>
      <c r="N78">
        <v>0</v>
      </c>
      <c r="O78">
        <v>0.2</v>
      </c>
    </row>
    <row r="79" spans="1:15" ht="28.5">
      <c r="A79">
        <v>78</v>
      </c>
      <c r="B79" t="s">
        <v>40</v>
      </c>
      <c r="C79" t="s">
        <v>63</v>
      </c>
      <c r="D79" s="7" t="s">
        <v>580</v>
      </c>
      <c r="E79" s="7" t="s">
        <v>581</v>
      </c>
      <c r="F79">
        <v>3</v>
      </c>
      <c r="G79">
        <v>9</v>
      </c>
      <c r="H79">
        <v>0.6</v>
      </c>
      <c r="I79">
        <v>1.8</v>
      </c>
      <c r="J79">
        <v>-1.2000000000000002</v>
      </c>
      <c r="K79">
        <v>3</v>
      </c>
      <c r="L79">
        <v>0</v>
      </c>
      <c r="M79">
        <v>0.6</v>
      </c>
      <c r="N79">
        <v>0</v>
      </c>
      <c r="O79">
        <v>0.6</v>
      </c>
    </row>
    <row r="80" spans="1:15" ht="28.5">
      <c r="A80">
        <v>79</v>
      </c>
      <c r="B80" t="s">
        <v>20</v>
      </c>
      <c r="C80" t="s">
        <v>41</v>
      </c>
      <c r="D80" s="7" t="s">
        <v>582</v>
      </c>
      <c r="E80" s="7" t="s">
        <v>583</v>
      </c>
      <c r="F80">
        <v>1</v>
      </c>
      <c r="G80">
        <v>3</v>
      </c>
      <c r="H80">
        <v>0.2</v>
      </c>
      <c r="I80">
        <v>0.6</v>
      </c>
      <c r="J80">
        <v>-0.39999999999999997</v>
      </c>
      <c r="K80">
        <v>4</v>
      </c>
      <c r="L80">
        <v>2</v>
      </c>
      <c r="M80">
        <v>0.8</v>
      </c>
      <c r="N80">
        <v>0.4</v>
      </c>
      <c r="O80">
        <v>0.4</v>
      </c>
    </row>
    <row r="81" spans="1:15" ht="28.5">
      <c r="A81">
        <v>80</v>
      </c>
      <c r="B81" t="s">
        <v>72</v>
      </c>
      <c r="C81" t="s">
        <v>76</v>
      </c>
      <c r="D81" s="7" t="s">
        <v>584</v>
      </c>
      <c r="E81" s="7" t="s">
        <v>585</v>
      </c>
      <c r="F81">
        <v>2</v>
      </c>
      <c r="G81">
        <v>5</v>
      </c>
      <c r="H81">
        <v>0.4</v>
      </c>
      <c r="I81">
        <v>1</v>
      </c>
      <c r="J81">
        <v>-0.6</v>
      </c>
      <c r="K81">
        <v>4</v>
      </c>
      <c r="L81">
        <v>1</v>
      </c>
      <c r="M81">
        <v>0.8</v>
      </c>
      <c r="N81">
        <v>0.2</v>
      </c>
      <c r="O81">
        <v>0.60000000000000009</v>
      </c>
    </row>
    <row r="82" spans="1:15" ht="28.5">
      <c r="A82">
        <v>81</v>
      </c>
      <c r="B82" t="s">
        <v>28</v>
      </c>
      <c r="C82" t="s">
        <v>26</v>
      </c>
      <c r="D82" s="7" t="s">
        <v>586</v>
      </c>
      <c r="E82" s="7" t="s">
        <v>587</v>
      </c>
      <c r="F82">
        <v>8</v>
      </c>
      <c r="G82">
        <v>7</v>
      </c>
      <c r="H82">
        <v>1.6</v>
      </c>
      <c r="I82">
        <v>1.4</v>
      </c>
      <c r="J82">
        <v>0.20000000000000018</v>
      </c>
      <c r="K82">
        <v>1</v>
      </c>
      <c r="L82">
        <v>1</v>
      </c>
      <c r="M82">
        <v>0.2</v>
      </c>
      <c r="N82">
        <v>0.2</v>
      </c>
      <c r="O82">
        <v>0</v>
      </c>
    </row>
    <row r="83" spans="1:15" ht="28.5">
      <c r="A83">
        <v>82</v>
      </c>
      <c r="B83" t="s">
        <v>57</v>
      </c>
      <c r="C83" t="s">
        <v>61</v>
      </c>
      <c r="D83" s="7" t="s">
        <v>588</v>
      </c>
      <c r="E83" s="7" t="s">
        <v>589</v>
      </c>
      <c r="F83">
        <v>2</v>
      </c>
      <c r="G83">
        <v>9</v>
      </c>
      <c r="H83">
        <v>0.4</v>
      </c>
      <c r="I83">
        <v>1.8</v>
      </c>
      <c r="J83">
        <v>-1.4</v>
      </c>
      <c r="K83">
        <v>3</v>
      </c>
      <c r="L83">
        <v>2</v>
      </c>
      <c r="M83">
        <v>0.6</v>
      </c>
      <c r="N83">
        <v>0.4</v>
      </c>
      <c r="O83">
        <v>0.19999999999999996</v>
      </c>
    </row>
    <row r="84" spans="1:15" ht="28.5">
      <c r="A84">
        <v>83</v>
      </c>
      <c r="B84" t="s">
        <v>75</v>
      </c>
      <c r="C84" t="s">
        <v>73</v>
      </c>
      <c r="D84" s="7" t="s">
        <v>590</v>
      </c>
      <c r="E84" s="7" t="s">
        <v>591</v>
      </c>
      <c r="F84">
        <v>3</v>
      </c>
      <c r="G84">
        <v>8</v>
      </c>
      <c r="H84">
        <v>0.6</v>
      </c>
      <c r="I84">
        <v>1.6</v>
      </c>
      <c r="J84">
        <v>-1</v>
      </c>
      <c r="K84">
        <v>2</v>
      </c>
      <c r="L84">
        <v>1</v>
      </c>
      <c r="M84">
        <v>0.4</v>
      </c>
      <c r="N84">
        <v>0.2</v>
      </c>
      <c r="O84">
        <v>0.2</v>
      </c>
    </row>
    <row r="85" spans="1:15" ht="28.5">
      <c r="A85">
        <v>84</v>
      </c>
      <c r="B85" t="s">
        <v>52</v>
      </c>
      <c r="C85" t="s">
        <v>67</v>
      </c>
      <c r="D85" s="7" t="s">
        <v>592</v>
      </c>
      <c r="E85" s="7" t="s">
        <v>593</v>
      </c>
      <c r="F85">
        <v>2</v>
      </c>
      <c r="G85">
        <v>6</v>
      </c>
      <c r="H85">
        <v>0.4</v>
      </c>
      <c r="I85">
        <v>1.2</v>
      </c>
      <c r="J85">
        <v>-0.79999999999999993</v>
      </c>
      <c r="K85">
        <v>3</v>
      </c>
      <c r="L85">
        <v>2</v>
      </c>
      <c r="M85">
        <v>0.6</v>
      </c>
      <c r="N85">
        <v>0.4</v>
      </c>
      <c r="O85">
        <v>0.19999999999999996</v>
      </c>
    </row>
    <row r="86" spans="1:15" ht="28.5">
      <c r="A86">
        <v>85</v>
      </c>
      <c r="B86" t="s">
        <v>38</v>
      </c>
      <c r="C86" t="s">
        <v>66</v>
      </c>
      <c r="D86" s="7" t="s">
        <v>594</v>
      </c>
      <c r="E86" s="7" t="s">
        <v>595</v>
      </c>
      <c r="F86">
        <v>5</v>
      </c>
      <c r="G86">
        <v>7</v>
      </c>
      <c r="H86">
        <v>1</v>
      </c>
      <c r="I86">
        <v>1.4</v>
      </c>
      <c r="J86">
        <v>-0.39999999999999991</v>
      </c>
      <c r="K86">
        <v>0</v>
      </c>
      <c r="L86">
        <v>2</v>
      </c>
      <c r="M86">
        <v>0</v>
      </c>
      <c r="N86">
        <v>0.4</v>
      </c>
      <c r="O86">
        <v>-0.4</v>
      </c>
    </row>
    <row r="87" spans="1:15" ht="28.5">
      <c r="A87">
        <v>86</v>
      </c>
      <c r="B87" t="s">
        <v>65</v>
      </c>
      <c r="C87" t="s">
        <v>53</v>
      </c>
      <c r="D87" s="7" t="s">
        <v>596</v>
      </c>
      <c r="E87" s="7" t="s">
        <v>597</v>
      </c>
      <c r="F87">
        <v>1</v>
      </c>
      <c r="G87">
        <v>5</v>
      </c>
      <c r="H87">
        <v>0.2</v>
      </c>
      <c r="I87">
        <v>1</v>
      </c>
      <c r="J87">
        <v>-0.8</v>
      </c>
      <c r="K87">
        <v>4</v>
      </c>
      <c r="L87">
        <v>3</v>
      </c>
      <c r="M87">
        <v>0.8</v>
      </c>
      <c r="N87">
        <v>0.6</v>
      </c>
      <c r="O87">
        <v>0.20000000000000007</v>
      </c>
    </row>
    <row r="88" spans="1:15" ht="28.5">
      <c r="A88">
        <v>87</v>
      </c>
      <c r="B88" t="s">
        <v>78</v>
      </c>
      <c r="C88" t="s">
        <v>70</v>
      </c>
      <c r="D88" s="7" t="s">
        <v>598</v>
      </c>
      <c r="E88" s="7" t="s">
        <v>599</v>
      </c>
      <c r="F88">
        <v>2</v>
      </c>
      <c r="G88">
        <v>5</v>
      </c>
      <c r="H88">
        <v>0.4</v>
      </c>
      <c r="I88">
        <v>1</v>
      </c>
      <c r="J88">
        <v>-0.6</v>
      </c>
      <c r="K88">
        <v>3</v>
      </c>
      <c r="L88">
        <v>2</v>
      </c>
      <c r="M88">
        <v>0.6</v>
      </c>
      <c r="N88">
        <v>0.4</v>
      </c>
      <c r="O88">
        <v>0.19999999999999996</v>
      </c>
    </row>
    <row r="89" spans="1:15" ht="28.5">
      <c r="A89">
        <v>88</v>
      </c>
      <c r="B89" t="s">
        <v>33</v>
      </c>
      <c r="C89" t="s">
        <v>58</v>
      </c>
      <c r="D89" s="7" t="s">
        <v>600</v>
      </c>
      <c r="E89" s="7" t="s">
        <v>601</v>
      </c>
      <c r="F89">
        <v>4</v>
      </c>
      <c r="G89">
        <v>5</v>
      </c>
      <c r="H89">
        <v>0.8</v>
      </c>
      <c r="I89">
        <v>1</v>
      </c>
      <c r="J89">
        <v>-0.19999999999999996</v>
      </c>
      <c r="K89">
        <v>2</v>
      </c>
      <c r="L89">
        <v>1</v>
      </c>
      <c r="M89">
        <v>0.4</v>
      </c>
      <c r="N89">
        <v>0.2</v>
      </c>
      <c r="O89">
        <v>0.2</v>
      </c>
    </row>
    <row r="90" spans="1:15" ht="28.5">
      <c r="A90">
        <v>89</v>
      </c>
      <c r="B90" t="s">
        <v>29</v>
      </c>
      <c r="C90" t="s">
        <v>60</v>
      </c>
      <c r="D90" s="7" t="s">
        <v>602</v>
      </c>
      <c r="E90" s="7" t="s">
        <v>603</v>
      </c>
      <c r="F90">
        <v>5</v>
      </c>
      <c r="G90">
        <v>3</v>
      </c>
      <c r="H90">
        <v>1</v>
      </c>
      <c r="I90">
        <v>0.6</v>
      </c>
      <c r="J90">
        <v>0.4</v>
      </c>
      <c r="K90">
        <v>3</v>
      </c>
      <c r="L90">
        <v>2</v>
      </c>
      <c r="M90">
        <v>0.6</v>
      </c>
      <c r="N90">
        <v>0.4</v>
      </c>
      <c r="O90">
        <v>0.19999999999999996</v>
      </c>
    </row>
    <row r="91" spans="1:15" ht="42.75">
      <c r="A91">
        <v>90</v>
      </c>
      <c r="B91" t="s">
        <v>25</v>
      </c>
      <c r="C91" t="s">
        <v>36</v>
      </c>
      <c r="D91" s="7" t="s">
        <v>604</v>
      </c>
      <c r="E91" s="7" t="s">
        <v>605</v>
      </c>
      <c r="F91">
        <v>4</v>
      </c>
      <c r="G91">
        <v>5</v>
      </c>
      <c r="H91">
        <v>0.8</v>
      </c>
      <c r="I91">
        <v>1</v>
      </c>
      <c r="J91">
        <v>-0.19999999999999996</v>
      </c>
      <c r="K91">
        <v>2</v>
      </c>
      <c r="L91">
        <v>1</v>
      </c>
      <c r="M91">
        <v>0.4</v>
      </c>
      <c r="N91">
        <v>0.2</v>
      </c>
      <c r="O91">
        <v>0.2</v>
      </c>
    </row>
    <row r="92" spans="1:15" ht="28.5">
      <c r="A92">
        <v>91</v>
      </c>
      <c r="B92" t="s">
        <v>35</v>
      </c>
      <c r="C92" t="s">
        <v>63</v>
      </c>
      <c r="D92" s="7" t="s">
        <v>606</v>
      </c>
      <c r="E92" s="7" t="s">
        <v>607</v>
      </c>
      <c r="F92">
        <v>3</v>
      </c>
      <c r="G92">
        <v>9</v>
      </c>
      <c r="H92">
        <v>0.6</v>
      </c>
      <c r="I92">
        <v>1.8</v>
      </c>
      <c r="J92">
        <v>-1.2000000000000002</v>
      </c>
      <c r="K92">
        <v>2</v>
      </c>
      <c r="L92">
        <v>0</v>
      </c>
      <c r="M92">
        <v>0.4</v>
      </c>
      <c r="N92">
        <v>0</v>
      </c>
      <c r="O92">
        <v>0.4</v>
      </c>
    </row>
    <row r="93" spans="1:15" ht="28.5">
      <c r="A93">
        <v>92</v>
      </c>
      <c r="B93" t="s">
        <v>20</v>
      </c>
      <c r="C93" t="s">
        <v>72</v>
      </c>
      <c r="D93" s="7" t="s">
        <v>608</v>
      </c>
      <c r="E93" s="7" t="s">
        <v>609</v>
      </c>
      <c r="F93">
        <v>1</v>
      </c>
      <c r="G93">
        <v>3</v>
      </c>
      <c r="H93">
        <v>0.2</v>
      </c>
      <c r="I93">
        <v>0.6</v>
      </c>
      <c r="J93">
        <v>-0.39999999999999997</v>
      </c>
      <c r="K93">
        <v>4</v>
      </c>
      <c r="L93">
        <v>3</v>
      </c>
      <c r="M93">
        <v>0.8</v>
      </c>
      <c r="N93">
        <v>0.6</v>
      </c>
      <c r="O93">
        <v>0.20000000000000007</v>
      </c>
    </row>
    <row r="94" spans="1:15" ht="28.5">
      <c r="A94">
        <v>93</v>
      </c>
      <c r="B94" t="s">
        <v>75</v>
      </c>
      <c r="C94" t="s">
        <v>52</v>
      </c>
      <c r="D94" s="7" t="s">
        <v>610</v>
      </c>
      <c r="E94" s="7" t="s">
        <v>611</v>
      </c>
      <c r="F94">
        <v>3</v>
      </c>
      <c r="G94">
        <v>1</v>
      </c>
      <c r="H94">
        <v>0.6</v>
      </c>
      <c r="I94">
        <v>0.2</v>
      </c>
      <c r="J94">
        <v>0.39999999999999997</v>
      </c>
      <c r="K94">
        <v>2</v>
      </c>
      <c r="L94">
        <v>4</v>
      </c>
      <c r="M94">
        <v>0.4</v>
      </c>
      <c r="N94">
        <v>0.8</v>
      </c>
      <c r="O94">
        <v>-0.4</v>
      </c>
    </row>
    <row r="95" spans="1:15" ht="28.5">
      <c r="A95">
        <v>94</v>
      </c>
      <c r="B95" t="s">
        <v>28</v>
      </c>
      <c r="C95" t="s">
        <v>57</v>
      </c>
      <c r="D95" s="7" t="s">
        <v>612</v>
      </c>
      <c r="E95" s="7" t="s">
        <v>613</v>
      </c>
      <c r="F95">
        <v>6</v>
      </c>
      <c r="G95">
        <v>4</v>
      </c>
      <c r="H95">
        <v>1.2</v>
      </c>
      <c r="I95">
        <v>0.8</v>
      </c>
      <c r="J95">
        <v>0.39999999999999991</v>
      </c>
      <c r="K95">
        <v>2</v>
      </c>
      <c r="L95">
        <v>2</v>
      </c>
      <c r="M95">
        <v>0.4</v>
      </c>
      <c r="N95">
        <v>0.4</v>
      </c>
      <c r="O95">
        <v>0</v>
      </c>
    </row>
    <row r="96" spans="1:15" ht="28.5">
      <c r="A96">
        <v>95</v>
      </c>
      <c r="B96" t="s">
        <v>65</v>
      </c>
      <c r="C96" t="s">
        <v>58</v>
      </c>
      <c r="D96" s="7" t="s">
        <v>614</v>
      </c>
      <c r="E96" s="7" t="s">
        <v>615</v>
      </c>
      <c r="F96">
        <v>3</v>
      </c>
      <c r="G96">
        <v>6</v>
      </c>
      <c r="H96">
        <v>0.6</v>
      </c>
      <c r="I96">
        <v>1.2</v>
      </c>
      <c r="J96">
        <v>-0.6</v>
      </c>
      <c r="K96">
        <v>3</v>
      </c>
      <c r="L96">
        <v>0</v>
      </c>
      <c r="M96">
        <v>0.6</v>
      </c>
      <c r="N96">
        <v>0</v>
      </c>
      <c r="O96">
        <v>0.6</v>
      </c>
    </row>
    <row r="97" spans="1:15" ht="28.5">
      <c r="A97">
        <v>96</v>
      </c>
      <c r="B97" t="s">
        <v>38</v>
      </c>
      <c r="C97" t="s">
        <v>78</v>
      </c>
      <c r="D97" s="7" t="s">
        <v>616</v>
      </c>
      <c r="E97" s="7" t="s">
        <v>617</v>
      </c>
      <c r="F97">
        <v>4</v>
      </c>
      <c r="G97">
        <v>1</v>
      </c>
      <c r="H97">
        <v>0.8</v>
      </c>
      <c r="I97">
        <v>0.2</v>
      </c>
      <c r="J97">
        <v>0.60000000000000009</v>
      </c>
      <c r="K97">
        <v>1</v>
      </c>
      <c r="L97">
        <v>4</v>
      </c>
      <c r="M97">
        <v>0.2</v>
      </c>
      <c r="N97">
        <v>0.8</v>
      </c>
      <c r="O97">
        <v>-0.60000000000000009</v>
      </c>
    </row>
    <row r="98" spans="1:15" ht="28.5">
      <c r="A98">
        <v>97</v>
      </c>
      <c r="B98" t="s">
        <v>60</v>
      </c>
      <c r="C98" t="s">
        <v>36</v>
      </c>
      <c r="D98" s="7" t="s">
        <v>618</v>
      </c>
      <c r="E98" s="7" t="s">
        <v>619</v>
      </c>
      <c r="F98">
        <v>2</v>
      </c>
      <c r="G98">
        <v>4</v>
      </c>
      <c r="H98">
        <v>0.4</v>
      </c>
      <c r="I98">
        <v>0.8</v>
      </c>
      <c r="J98">
        <v>-0.4</v>
      </c>
      <c r="K98">
        <v>3</v>
      </c>
      <c r="L98">
        <v>2</v>
      </c>
      <c r="M98">
        <v>0.6</v>
      </c>
      <c r="N98">
        <v>0.4</v>
      </c>
      <c r="O98">
        <v>0.19999999999999996</v>
      </c>
    </row>
    <row r="99" spans="1:15" ht="28.5">
      <c r="A99">
        <v>98</v>
      </c>
      <c r="B99" t="s">
        <v>52</v>
      </c>
      <c r="C99" t="s">
        <v>57</v>
      </c>
      <c r="D99" s="7" t="s">
        <v>620</v>
      </c>
      <c r="E99" s="7" t="s">
        <v>621</v>
      </c>
      <c r="F99">
        <v>0</v>
      </c>
      <c r="G99">
        <v>5</v>
      </c>
      <c r="H99">
        <v>0</v>
      </c>
      <c r="I99">
        <v>1</v>
      </c>
      <c r="J99">
        <v>-1</v>
      </c>
      <c r="K99">
        <v>5</v>
      </c>
      <c r="L99">
        <v>1</v>
      </c>
      <c r="M99">
        <v>1</v>
      </c>
      <c r="N99">
        <v>0.2</v>
      </c>
      <c r="O99">
        <v>0.8</v>
      </c>
    </row>
    <row r="100" spans="1:15" ht="28.5">
      <c r="A100">
        <v>99</v>
      </c>
      <c r="B100" t="s">
        <v>63</v>
      </c>
      <c r="C100" t="s">
        <v>72</v>
      </c>
      <c r="D100" s="7" t="s">
        <v>622</v>
      </c>
      <c r="E100" s="7" t="s">
        <v>623</v>
      </c>
      <c r="F100">
        <v>9</v>
      </c>
      <c r="G100">
        <v>5</v>
      </c>
      <c r="H100">
        <v>1.8</v>
      </c>
      <c r="I100">
        <v>1</v>
      </c>
      <c r="J100">
        <v>0.8</v>
      </c>
      <c r="K100">
        <v>0</v>
      </c>
      <c r="L100">
        <v>2</v>
      </c>
      <c r="M100">
        <v>0</v>
      </c>
      <c r="N100">
        <v>0.4</v>
      </c>
      <c r="O100">
        <v>-0.4</v>
      </c>
    </row>
    <row r="101" spans="1:15" ht="28.5">
      <c r="A101">
        <v>100</v>
      </c>
      <c r="B101" t="s">
        <v>65</v>
      </c>
      <c r="C101" t="s">
        <v>38</v>
      </c>
      <c r="D101" s="7" t="s">
        <v>624</v>
      </c>
      <c r="E101" s="7" t="s">
        <v>625</v>
      </c>
      <c r="F101">
        <v>5</v>
      </c>
      <c r="G101">
        <v>3</v>
      </c>
      <c r="H101">
        <v>1</v>
      </c>
      <c r="I101">
        <v>0.6</v>
      </c>
      <c r="J101">
        <v>0.4</v>
      </c>
      <c r="K101">
        <v>2</v>
      </c>
      <c r="L101">
        <v>2</v>
      </c>
      <c r="M101">
        <v>0.4</v>
      </c>
      <c r="N101">
        <v>0.4</v>
      </c>
      <c r="O101">
        <v>0</v>
      </c>
    </row>
    <row r="102" spans="1:15" ht="28.5">
      <c r="A102">
        <v>101</v>
      </c>
      <c r="B102" t="s">
        <v>60</v>
      </c>
      <c r="C102" t="s">
        <v>52</v>
      </c>
      <c r="D102" s="7" t="s">
        <v>626</v>
      </c>
      <c r="E102" s="7" t="s">
        <v>627</v>
      </c>
      <c r="F102">
        <v>1</v>
      </c>
      <c r="G102">
        <v>1</v>
      </c>
      <c r="H102">
        <v>0.2</v>
      </c>
      <c r="I102">
        <v>0.2</v>
      </c>
      <c r="J102">
        <v>0</v>
      </c>
      <c r="K102">
        <v>4</v>
      </c>
      <c r="L102">
        <v>4</v>
      </c>
      <c r="M102">
        <v>0.8</v>
      </c>
      <c r="N102">
        <v>0.8</v>
      </c>
      <c r="O102">
        <v>0</v>
      </c>
    </row>
    <row r="103" spans="1:15" ht="28.5">
      <c r="A103">
        <v>102</v>
      </c>
      <c r="B103" t="s">
        <v>72</v>
      </c>
      <c r="C103" t="s">
        <v>65</v>
      </c>
      <c r="D103" s="7" t="s">
        <v>628</v>
      </c>
      <c r="E103" s="7" t="s">
        <v>629</v>
      </c>
      <c r="F103">
        <v>4</v>
      </c>
      <c r="G103">
        <v>6</v>
      </c>
      <c r="H103">
        <v>0.8</v>
      </c>
      <c r="I103">
        <v>1.2</v>
      </c>
      <c r="J103">
        <v>-0.39999999999999991</v>
      </c>
      <c r="K103">
        <v>2</v>
      </c>
      <c r="L103">
        <v>1</v>
      </c>
      <c r="M103">
        <v>0.4</v>
      </c>
      <c r="N103">
        <v>0.2</v>
      </c>
      <c r="O103">
        <v>0.2</v>
      </c>
    </row>
    <row r="104" spans="1:15" ht="28.5">
      <c r="A104">
        <v>103</v>
      </c>
      <c r="B104" t="s">
        <v>60</v>
      </c>
      <c r="C104" t="s">
        <v>72</v>
      </c>
      <c r="D104" s="7" t="s">
        <v>630</v>
      </c>
      <c r="E104" s="7" t="s">
        <v>631</v>
      </c>
      <c r="F104">
        <v>3</v>
      </c>
      <c r="G104">
        <v>6</v>
      </c>
      <c r="H104">
        <v>0.6</v>
      </c>
      <c r="I104">
        <v>1.2</v>
      </c>
      <c r="J104">
        <v>-0.6</v>
      </c>
      <c r="K104">
        <v>3</v>
      </c>
      <c r="L104">
        <v>1</v>
      </c>
      <c r="M104">
        <v>0.6</v>
      </c>
      <c r="N104">
        <v>0.2</v>
      </c>
      <c r="O104">
        <v>0.39999999999999997</v>
      </c>
    </row>
    <row r="105" spans="1:15" ht="28.5">
      <c r="A105">
        <v>104</v>
      </c>
      <c r="B105" t="s">
        <v>52</v>
      </c>
      <c r="C105" t="s">
        <v>65</v>
      </c>
      <c r="D105" s="7" t="s">
        <v>632</v>
      </c>
      <c r="E105" s="7" t="s">
        <v>633</v>
      </c>
      <c r="F105">
        <v>1</v>
      </c>
      <c r="G105">
        <v>7</v>
      </c>
      <c r="H105">
        <v>0.2</v>
      </c>
      <c r="I105">
        <v>1.4</v>
      </c>
      <c r="J105">
        <v>-1.2</v>
      </c>
      <c r="K105">
        <v>4</v>
      </c>
      <c r="L105">
        <v>0</v>
      </c>
      <c r="M105">
        <v>0.8</v>
      </c>
      <c r="N105">
        <v>0</v>
      </c>
      <c r="O105">
        <v>0.8</v>
      </c>
    </row>
    <row r="107" spans="1:15">
      <c r="A107" t="s">
        <v>634</v>
      </c>
    </row>
    <row r="108" spans="1:15">
      <c r="A108" t="s">
        <v>635</v>
      </c>
    </row>
    <row r="109" spans="1:15">
      <c r="A109" t="s">
        <v>636</v>
      </c>
    </row>
    <row r="110" spans="1:15">
      <c r="A110" t="s">
        <v>637</v>
      </c>
    </row>
    <row r="111" spans="1:15">
      <c r="A111" t="s">
        <v>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>
      <pane ySplit="3" topLeftCell="A4" activePane="bottomLeft" state="frozen"/>
      <selection pane="bottomLeft" activeCell="A25" sqref="A25:F25"/>
    </sheetView>
  </sheetViews>
  <sheetFormatPr defaultRowHeight="14.25"/>
  <cols>
    <col min="1" max="1" width="41" customWidth="1"/>
    <col min="2" max="2" width="23" customWidth="1"/>
    <col min="3" max="3" width="15" customWidth="1"/>
    <col min="4" max="4" width="63" customWidth="1"/>
    <col min="5" max="6" width="16" customWidth="1"/>
  </cols>
  <sheetData>
    <row r="1" spans="1:6" ht="33" customHeight="1">
      <c r="A1" s="24" t="s">
        <v>639</v>
      </c>
      <c r="B1" s="24"/>
      <c r="C1" s="24"/>
      <c r="D1" s="24"/>
      <c r="E1" s="24"/>
      <c r="F1" s="24"/>
    </row>
    <row r="3" spans="1:6" ht="24.95" customHeight="1">
      <c r="A3" s="19" t="s">
        <v>640</v>
      </c>
      <c r="B3" s="19" t="s">
        <v>641</v>
      </c>
      <c r="C3" s="19" t="s">
        <v>642</v>
      </c>
      <c r="D3" s="19" t="s">
        <v>643</v>
      </c>
    </row>
    <row r="4" spans="1:6">
      <c r="A4" t="s">
        <v>644</v>
      </c>
      <c r="B4" t="s">
        <v>54</v>
      </c>
      <c r="C4">
        <f>COUNT(Master_104_Matches!G2:G105)</f>
        <v>104</v>
      </c>
      <c r="D4" t="s">
        <v>645</v>
      </c>
    </row>
    <row r="5" spans="1:6">
      <c r="A5" t="s">
        <v>646</v>
      </c>
      <c r="B5" t="s">
        <v>49</v>
      </c>
      <c r="C5">
        <f>COUNT(Master_104_Matches!H2:H105)</f>
        <v>104</v>
      </c>
      <c r="D5" t="s">
        <v>645</v>
      </c>
    </row>
    <row r="6" spans="1:6">
      <c r="A6" t="s">
        <v>647</v>
      </c>
      <c r="B6" t="s">
        <v>59</v>
      </c>
      <c r="C6">
        <f>COUNT(Master_104_Matches!I2:I105)</f>
        <v>104</v>
      </c>
      <c r="D6" t="s">
        <v>648</v>
      </c>
    </row>
    <row r="7" spans="1:6">
      <c r="A7" t="s">
        <v>649</v>
      </c>
      <c r="B7" t="s">
        <v>64</v>
      </c>
      <c r="C7">
        <f>COUNT(Master_104_Matches!J2:J105)</f>
        <v>104</v>
      </c>
      <c r="D7" t="s">
        <v>650</v>
      </c>
    </row>
    <row r="8" spans="1:6">
      <c r="A8" t="s">
        <v>651</v>
      </c>
      <c r="B8" t="s">
        <v>74</v>
      </c>
      <c r="C8">
        <f>COUNT(Master_104_Matches!K2:K105)</f>
        <v>104</v>
      </c>
      <c r="D8" t="s">
        <v>648</v>
      </c>
    </row>
    <row r="9" spans="1:6">
      <c r="A9" t="s">
        <v>652</v>
      </c>
      <c r="B9" t="s">
        <v>69</v>
      </c>
      <c r="C9">
        <f>COUNT(Master_104_Matches!L2:L105)</f>
        <v>104</v>
      </c>
      <c r="D9" t="s">
        <v>650</v>
      </c>
    </row>
    <row r="10" spans="1:6">
      <c r="A10" t="s">
        <v>653</v>
      </c>
      <c r="B10" t="s">
        <v>654</v>
      </c>
      <c r="C10">
        <f>COUNT(Master_104_Matches!M2:M105)</f>
        <v>104</v>
      </c>
      <c r="D10" t="s">
        <v>655</v>
      </c>
    </row>
    <row r="11" spans="1:6">
      <c r="A11" t="s">
        <v>656</v>
      </c>
      <c r="B11" t="s">
        <v>657</v>
      </c>
      <c r="C11">
        <f>COUNT(Master_104_Matches!N2:N105)</f>
        <v>104</v>
      </c>
      <c r="D11" t="s">
        <v>658</v>
      </c>
    </row>
    <row r="13" spans="1:6">
      <c r="A13" t="s">
        <v>659</v>
      </c>
      <c r="B13">
        <v>104</v>
      </c>
    </row>
    <row r="14" spans="1:6">
      <c r="A14" t="s">
        <v>660</v>
      </c>
      <c r="B14">
        <v>104</v>
      </c>
    </row>
    <row r="15" spans="1:6">
      <c r="A15" t="s">
        <v>661</v>
      </c>
      <c r="B15">
        <v>416</v>
      </c>
    </row>
    <row r="16" spans="1:6">
      <c r="A16" t="s">
        <v>662</v>
      </c>
      <c r="B16">
        <v>1040</v>
      </c>
    </row>
    <row r="18" spans="1:6" ht="24" customHeight="1">
      <c r="A18" s="25" t="s">
        <v>663</v>
      </c>
      <c r="B18" s="25"/>
      <c r="C18" s="25"/>
      <c r="D18" s="25"/>
      <c r="E18" s="25"/>
      <c r="F18" s="25"/>
    </row>
    <row r="19" spans="1:6" ht="30.95" customHeight="1">
      <c r="A19" s="23" t="s">
        <v>664</v>
      </c>
      <c r="B19" s="23"/>
      <c r="C19" s="23"/>
      <c r="D19" s="23"/>
      <c r="E19" s="23"/>
      <c r="F19" s="23"/>
    </row>
    <row r="20" spans="1:6" ht="30.95" customHeight="1">
      <c r="A20" s="23" t="s">
        <v>665</v>
      </c>
      <c r="B20" s="23"/>
      <c r="C20" s="23"/>
      <c r="D20" s="23"/>
      <c r="E20" s="23"/>
      <c r="F20" s="23"/>
    </row>
    <row r="21" spans="1:6" ht="30.95" customHeight="1">
      <c r="A21" s="23" t="s">
        <v>666</v>
      </c>
      <c r="B21" s="23"/>
      <c r="C21" s="23"/>
      <c r="D21" s="23"/>
      <c r="E21" s="23"/>
      <c r="F21" s="23"/>
    </row>
    <row r="22" spans="1:6" ht="30.95" customHeight="1">
      <c r="A22" s="23" t="s">
        <v>667</v>
      </c>
      <c r="B22" s="23"/>
      <c r="C22" s="23"/>
      <c r="D22" s="23"/>
      <c r="E22" s="23"/>
      <c r="F22" s="23"/>
    </row>
    <row r="23" spans="1:6" ht="30.95" customHeight="1">
      <c r="A23" s="23" t="s">
        <v>668</v>
      </c>
      <c r="B23" s="23"/>
      <c r="C23" s="23"/>
      <c r="D23" s="23"/>
      <c r="E23" s="23"/>
      <c r="F23" s="23"/>
    </row>
    <row r="24" spans="1:6" ht="30.95" customHeight="1">
      <c r="A24" s="23" t="s">
        <v>669</v>
      </c>
      <c r="B24" s="23"/>
      <c r="C24" s="23"/>
      <c r="D24" s="23"/>
      <c r="E24" s="23"/>
      <c r="F24" s="23"/>
    </row>
    <row r="25" spans="1:6" ht="30.95" customHeight="1">
      <c r="A25" s="23" t="s">
        <v>670</v>
      </c>
      <c r="B25" s="23"/>
      <c r="C25" s="23"/>
      <c r="D25" s="23"/>
      <c r="E25" s="23"/>
      <c r="F25" s="23"/>
    </row>
    <row r="26" spans="1:6" ht="30.95" customHeight="1">
      <c r="A26" s="23" t="s">
        <v>671</v>
      </c>
      <c r="B26" s="23"/>
      <c r="C26" s="23"/>
      <c r="D26" s="23"/>
      <c r="E26" s="23"/>
      <c r="F26" s="23"/>
    </row>
  </sheetData>
  <mergeCells count="10">
    <mergeCell ref="A1:F1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a02643-6cd0-4bab-99cd-dce2e63a7a76">
      <Terms xmlns="http://schemas.microsoft.com/office/infopath/2007/PartnerControls"/>
    </lcf76f155ced4ddcb4097134ff3c332f>
    <TaxCatchAll xmlns="48f2a7ef-9154-4ae0-830a-6503032703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10" ma:contentTypeDescription="Create a new document." ma:contentTypeScope="" ma:versionID="fc999b5dfef90895c3750171656403e4">
  <xsd:schema xmlns:xsd="http://www.w3.org/2001/XMLSchema" xmlns:xs="http://www.w3.org/2001/XMLSchema" xmlns:p="http://schemas.microsoft.com/office/2006/metadata/properties" xmlns:ns2="39a02643-6cd0-4bab-99cd-dce2e63a7a76" xmlns:ns3="48f2a7ef-9154-4ae0-830a-6503032703df" targetNamespace="http://schemas.microsoft.com/office/2006/metadata/properties" ma:root="true" ma:fieldsID="c6703fe8c605ff814a2c030fff97f24f" ns2:_="" ns3:_="">
    <xsd:import namespace="39a02643-6cd0-4bab-99cd-dce2e63a7a76"/>
    <xsd:import namespace="48f2a7ef-9154-4ae0-830a-650303270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5a206b-fc84-4f46-8343-fed2d1d570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2a7ef-9154-4ae0-830a-6503032703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7d179a6-0f5c-470b-ab19-75a64cb1a66f}" ma:internalName="TaxCatchAll" ma:showField="CatchAllData" ma:web="48f2a7ef-9154-4ae0-830a-6503032703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F5EAC-CA92-4789-BE9F-B1B93F054217}">
  <ds:schemaRefs>
    <ds:schemaRef ds:uri="http://schemas.microsoft.com/office/2006/metadata/properties"/>
    <ds:schemaRef ds:uri="http://schemas.microsoft.com/office/infopath/2007/PartnerControls"/>
    <ds:schemaRef ds:uri="39a02643-6cd0-4bab-99cd-dce2e63a7a76"/>
    <ds:schemaRef ds:uri="48f2a7ef-9154-4ae0-830a-6503032703df"/>
  </ds:schemaRefs>
</ds:datastoreItem>
</file>

<file path=customXml/itemProps2.xml><?xml version="1.0" encoding="utf-8"?>
<ds:datastoreItem xmlns:ds="http://schemas.openxmlformats.org/officeDocument/2006/customXml" ds:itemID="{242F54F0-E532-4D59-B293-B646EFD2C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02643-6cd0-4bab-99cd-dce2e63a7a76"/>
    <ds:schemaRef ds:uri="48f2a7ef-9154-4ae0-830a-650303270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46DB37-1183-44BC-A9FE-D99069C1FA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Master_104_Matches</vt:lpstr>
      <vt:lpstr>Data_Rules</vt:lpstr>
      <vt:lpstr>X1_X2_Inputs</vt:lpstr>
      <vt:lpstr>X3_X5_Detail</vt:lpstr>
      <vt:lpstr>Last5_Evidence</vt:lpstr>
      <vt:lpstr>Used_Source_Matches</vt:lpstr>
      <vt:lpstr>X3_X5_Methodology</vt:lpstr>
      <vt:lpstr>X4_X6_Audit</vt:lpstr>
      <vt:lpstr>Merge_Notes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Manish Chaudhary</cp:lastModifiedBy>
  <cp:revision/>
  <dcterms:created xsi:type="dcterms:W3CDTF">2026-10-14T09:41:08Z</dcterms:created>
  <dcterms:modified xsi:type="dcterms:W3CDTF">2026-10-14T15:02:44Z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0x01010017D7F192E28B844A80928816BC034C36</vt:lpwstr>
  </property>
  <property fmtid="{D5CDD505-2E9C-101B-9397-08002B2CF9AE}" pid="3" name="MediaServiceImageTags">
    <vt:lpwstr/>
  </property>
</Properties>
</file>